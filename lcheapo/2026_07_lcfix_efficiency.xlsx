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wford/_Work/Programming/lcheapo/lcheapo/"/>
    </mc:Choice>
  </mc:AlternateContent>
  <xr:revisionPtr revIDLastSave="0" documentId="8_{0AE51CAD-F586-644E-A8D6-328DF8B2421A}" xr6:coauthVersionLast="47" xr6:coauthVersionMax="47" xr10:uidLastSave="{00000000-0000-0000-0000-000000000000}"/>
  <bookViews>
    <workbookView xWindow="13120" yWindow="500" windowWidth="22800" windowHeight="20500" activeTab="3" xr2:uid="{BE56EB37-C48A-5746-9EC9-A1E43AA36FF8}"/>
  </bookViews>
  <sheets>
    <sheet name="Sheet1" sheetId="1" r:id="rId1"/>
    <sheet name="Sheet2" sheetId="2" r:id="rId2"/>
    <sheet name="tests 3" sheetId="4" r:id="rId3"/>
    <sheet name="tests 3 local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5" l="1"/>
  <c r="F36" i="5"/>
  <c r="F28" i="5"/>
  <c r="F29" i="5"/>
  <c r="F14" i="5"/>
  <c r="F15" i="5"/>
  <c r="F7" i="5"/>
  <c r="F8" i="5"/>
  <c r="F22" i="5"/>
  <c r="F21" i="5"/>
  <c r="D37" i="5"/>
  <c r="E37" i="5"/>
  <c r="F37" i="5"/>
  <c r="D30" i="5"/>
  <c r="E30" i="5"/>
  <c r="F30" i="5"/>
  <c r="D23" i="5"/>
  <c r="E23" i="5"/>
  <c r="F23" i="5"/>
  <c r="D16" i="5"/>
  <c r="E16" i="5"/>
  <c r="F16" i="5"/>
  <c r="D9" i="5"/>
  <c r="E9" i="5"/>
  <c r="F9" i="5"/>
  <c r="C37" i="5"/>
  <c r="C30" i="5"/>
  <c r="C23" i="5"/>
  <c r="C16" i="5"/>
  <c r="C9" i="5"/>
  <c r="E38" i="5"/>
  <c r="D38" i="5"/>
  <c r="C38" i="5"/>
  <c r="F34" i="5"/>
  <c r="F33" i="5"/>
  <c r="F32" i="5"/>
  <c r="F38" i="5" s="1"/>
  <c r="E31" i="5"/>
  <c r="D31" i="5"/>
  <c r="C31" i="5"/>
  <c r="F27" i="5"/>
  <c r="F26" i="5"/>
  <c r="F25" i="5"/>
  <c r="F31" i="5" s="1"/>
  <c r="E24" i="5"/>
  <c r="D24" i="5"/>
  <c r="C24" i="5"/>
  <c r="F20" i="5"/>
  <c r="F19" i="5"/>
  <c r="F18" i="5"/>
  <c r="F24" i="5" s="1"/>
  <c r="E17" i="5"/>
  <c r="D17" i="5"/>
  <c r="C17" i="5"/>
  <c r="F13" i="5"/>
  <c r="F12" i="5"/>
  <c r="F11" i="5"/>
  <c r="E10" i="5"/>
  <c r="D10" i="5"/>
  <c r="C10" i="5"/>
  <c r="F6" i="5"/>
  <c r="F5" i="5"/>
  <c r="F4" i="5"/>
  <c r="F10" i="5" s="1"/>
  <c r="AA20" i="4"/>
  <c r="Z20" i="4"/>
  <c r="Y20" i="4"/>
  <c r="AB20" i="4" s="1"/>
  <c r="W20" i="4"/>
  <c r="V20" i="4"/>
  <c r="U20" i="4"/>
  <c r="X20" i="4" s="1"/>
  <c r="S20" i="4"/>
  <c r="R20" i="4"/>
  <c r="Q20" i="4"/>
  <c r="T20" i="4" s="1"/>
  <c r="O20" i="4"/>
  <c r="N20" i="4"/>
  <c r="M20" i="4"/>
  <c r="K20" i="4"/>
  <c r="J20" i="4"/>
  <c r="I20" i="4"/>
  <c r="L20" i="4" s="1"/>
  <c r="AB19" i="4"/>
  <c r="X19" i="4"/>
  <c r="T19" i="4"/>
  <c r="P19" i="4"/>
  <c r="L19" i="4"/>
  <c r="AB18" i="4"/>
  <c r="X18" i="4"/>
  <c r="T18" i="4"/>
  <c r="P18" i="4"/>
  <c r="L18" i="4"/>
  <c r="AB17" i="4"/>
  <c r="X17" i="4"/>
  <c r="T17" i="4"/>
  <c r="P17" i="4"/>
  <c r="P20" i="4" s="1"/>
  <c r="L17" i="4"/>
  <c r="T10" i="4"/>
  <c r="T9" i="4"/>
  <c r="T8" i="4"/>
  <c r="X10" i="4"/>
  <c r="X9" i="4"/>
  <c r="X8" i="4"/>
  <c r="AB10" i="4"/>
  <c r="AB9" i="4"/>
  <c r="AB8" i="4"/>
  <c r="AB5" i="4"/>
  <c r="AB4" i="4"/>
  <c r="AB3" i="4"/>
  <c r="X5" i="4"/>
  <c r="X4" i="4"/>
  <c r="X3" i="4"/>
  <c r="T15" i="4"/>
  <c r="T14" i="4"/>
  <c r="T13" i="4"/>
  <c r="T5" i="4"/>
  <c r="T4" i="4"/>
  <c r="T3" i="4"/>
  <c r="P5" i="4"/>
  <c r="P4" i="4"/>
  <c r="P3" i="4"/>
  <c r="P11" i="4"/>
  <c r="P10" i="4"/>
  <c r="P9" i="4"/>
  <c r="P8" i="4"/>
  <c r="L11" i="4"/>
  <c r="L10" i="4"/>
  <c r="L9" i="4"/>
  <c r="L8" i="4"/>
  <c r="L5" i="4"/>
  <c r="L4" i="4"/>
  <c r="L3" i="4"/>
  <c r="H5" i="4"/>
  <c r="H4" i="4"/>
  <c r="H3" i="4"/>
  <c r="H10" i="4"/>
  <c r="H9" i="4"/>
  <c r="H8" i="4"/>
  <c r="H15" i="4"/>
  <c r="H14" i="4"/>
  <c r="H13" i="4"/>
  <c r="L15" i="4"/>
  <c r="L14" i="4"/>
  <c r="L13" i="4"/>
  <c r="AB15" i="4"/>
  <c r="AB14" i="4"/>
  <c r="AB13" i="4"/>
  <c r="X15" i="4"/>
  <c r="X14" i="4"/>
  <c r="X13" i="4"/>
  <c r="P13" i="4"/>
  <c r="AA16" i="4"/>
  <c r="Z16" i="4"/>
  <c r="Y16" i="4"/>
  <c r="AB16" i="4" s="1"/>
  <c r="AA11" i="4"/>
  <c r="Z11" i="4"/>
  <c r="Y11" i="4"/>
  <c r="AB11" i="4" s="1"/>
  <c r="AA6" i="4"/>
  <c r="Z6" i="4"/>
  <c r="Y6" i="4"/>
  <c r="AB6" i="4" s="1"/>
  <c r="W16" i="4"/>
  <c r="V16" i="4"/>
  <c r="U16" i="4"/>
  <c r="X16" i="4" s="1"/>
  <c r="W11" i="4"/>
  <c r="V11" i="4"/>
  <c r="U11" i="4"/>
  <c r="X11" i="4" s="1"/>
  <c r="W6" i="4"/>
  <c r="V6" i="4"/>
  <c r="U6" i="4"/>
  <c r="X6" i="4" s="1"/>
  <c r="S16" i="4"/>
  <c r="R16" i="4"/>
  <c r="Q16" i="4"/>
  <c r="T16" i="4" s="1"/>
  <c r="S11" i="4"/>
  <c r="R11" i="4"/>
  <c r="Q11" i="4"/>
  <c r="T11" i="4" s="1"/>
  <c r="S6" i="4"/>
  <c r="R6" i="4"/>
  <c r="Q6" i="4"/>
  <c r="T6" i="4" s="1"/>
  <c r="O16" i="4"/>
  <c r="N16" i="4"/>
  <c r="M16" i="4"/>
  <c r="K16" i="4"/>
  <c r="J16" i="4"/>
  <c r="I16" i="4"/>
  <c r="L16" i="4" s="1"/>
  <c r="G16" i="4"/>
  <c r="F16" i="4"/>
  <c r="E16" i="4"/>
  <c r="H16" i="4" s="1"/>
  <c r="P15" i="4"/>
  <c r="P14" i="4"/>
  <c r="O11" i="4"/>
  <c r="N11" i="4"/>
  <c r="M11" i="4"/>
  <c r="K11" i="4"/>
  <c r="J11" i="4"/>
  <c r="I11" i="4"/>
  <c r="G11" i="4"/>
  <c r="F11" i="4"/>
  <c r="E11" i="4"/>
  <c r="H11" i="4" s="1"/>
  <c r="O6" i="4"/>
  <c r="N6" i="4"/>
  <c r="M6" i="4"/>
  <c r="P6" i="4" s="1"/>
  <c r="K6" i="4"/>
  <c r="J6" i="4"/>
  <c r="I6" i="4"/>
  <c r="L6" i="4" s="1"/>
  <c r="G6" i="4"/>
  <c r="F6" i="4"/>
  <c r="E6" i="4"/>
  <c r="H6" i="4" s="1"/>
  <c r="E16" i="2"/>
  <c r="F16" i="2"/>
  <c r="G16" i="2"/>
  <c r="H16" i="2"/>
  <c r="I16" i="2"/>
  <c r="J16" i="2"/>
  <c r="K16" i="2"/>
  <c r="L16" i="2"/>
  <c r="M16" i="2"/>
  <c r="N16" i="2"/>
  <c r="O16" i="2"/>
  <c r="D16" i="2"/>
  <c r="O14" i="2"/>
  <c r="O15" i="2"/>
  <c r="K14" i="2"/>
  <c r="K15" i="2"/>
  <c r="G14" i="2"/>
  <c r="G15" i="2"/>
  <c r="O13" i="2"/>
  <c r="K13" i="2"/>
  <c r="G13" i="2"/>
  <c r="E11" i="2"/>
  <c r="F11" i="2"/>
  <c r="G11" i="2"/>
  <c r="H11" i="2"/>
  <c r="I11" i="2"/>
  <c r="J11" i="2"/>
  <c r="K11" i="2"/>
  <c r="L11" i="2"/>
  <c r="M11" i="2"/>
  <c r="N11" i="2"/>
  <c r="O11" i="2"/>
  <c r="D11" i="2"/>
  <c r="O10" i="2"/>
  <c r="O9" i="2"/>
  <c r="O8" i="2"/>
  <c r="K10" i="2"/>
  <c r="K9" i="2"/>
  <c r="K8" i="2"/>
  <c r="G9" i="2"/>
  <c r="G10" i="2"/>
  <c r="G8" i="2"/>
  <c r="E6" i="2"/>
  <c r="F6" i="2"/>
  <c r="H6" i="2"/>
  <c r="I6" i="2"/>
  <c r="J6" i="2"/>
  <c r="L6" i="2"/>
  <c r="M6" i="2"/>
  <c r="N6" i="2"/>
  <c r="D6" i="2"/>
  <c r="O4" i="2"/>
  <c r="O5" i="2"/>
  <c r="O3" i="2"/>
  <c r="O6" i="2" s="1"/>
  <c r="K4" i="2"/>
  <c r="K6" i="2" s="1"/>
  <c r="K5" i="2"/>
  <c r="K3" i="2"/>
  <c r="G4" i="2"/>
  <c r="G5" i="2"/>
  <c r="G3" i="2"/>
  <c r="G6" i="2" s="1"/>
  <c r="K17" i="1"/>
  <c r="N13" i="1"/>
  <c r="M13" i="1"/>
  <c r="L13" i="1"/>
  <c r="G16" i="1"/>
  <c r="N16" i="1"/>
  <c r="M16" i="1"/>
  <c r="L16" i="1"/>
  <c r="G13" i="1"/>
  <c r="K16" i="1"/>
  <c r="K15" i="1"/>
  <c r="K14" i="1"/>
  <c r="K8" i="1"/>
  <c r="K9" i="1"/>
  <c r="K10" i="1"/>
  <c r="K11" i="1"/>
  <c r="K12" i="1"/>
  <c r="K13" i="1"/>
  <c r="K7" i="1"/>
  <c r="K4" i="1"/>
  <c r="L4" i="1"/>
  <c r="M4" i="1"/>
  <c r="N4" i="1"/>
  <c r="K5" i="1"/>
  <c r="K3" i="1"/>
  <c r="G5" i="1"/>
  <c r="G4" i="1"/>
  <c r="G3" i="1"/>
  <c r="L5" i="1"/>
  <c r="M5" i="1"/>
  <c r="N5" i="1"/>
  <c r="M3" i="1"/>
  <c r="N3" i="1"/>
  <c r="L3" i="1"/>
  <c r="F17" i="5" l="1"/>
  <c r="P16" i="4"/>
</calcChain>
</file>

<file path=xl/sharedStrings.xml><?xml version="1.0" encoding="utf-8"?>
<sst xmlns="http://schemas.openxmlformats.org/spreadsheetml/2006/main" count="225" uniqueCount="77">
  <si>
    <t>real</t>
  </si>
  <si>
    <t>user</t>
  </si>
  <si>
    <t>sys</t>
  </si>
  <si>
    <t>lcfix_old</t>
  </si>
  <si>
    <t>lcfix_new</t>
  </si>
  <si>
    <t>diff?</t>
  </si>
  <si>
    <t>cmp?</t>
  </si>
  <si>
    <t>no</t>
  </si>
  <si>
    <t>speed up</t>
  </si>
  <si>
    <t>Comments</t>
  </si>
  <si>
    <t>throughput</t>
  </si>
  <si>
    <t>MB/s</t>
  </si>
  <si>
    <t>raw read speed test</t>
  </si>
  <si>
    <t>time lcfix_new --dryrun MONN.raw.lch</t>
  </si>
  <si>
    <t>time lcfix_new -o temp MONN.raw.lch</t>
  </si>
  <si>
    <t>time dd if=MONN.raw.lch of=/dev/null bs=16m</t>
  </si>
  <si>
    <t>Read and process only</t>
  </si>
  <si>
    <t>Read, process and write</t>
  </si>
  <si>
    <t>disk type</t>
  </si>
  <si>
    <t>ext HDD</t>
  </si>
  <si>
    <t>int SSD</t>
  </si>
  <si>
    <r>
      <rPr>
        <b/>
        <sz val="12"/>
        <color theme="1"/>
        <rFont val="Calibri"/>
        <family val="2"/>
        <scheme val="minor"/>
      </rPr>
      <t>Note</t>
    </r>
    <r>
      <rPr>
        <sz val="12"/>
        <color theme="1"/>
        <rFont val="Calibri"/>
        <family val="2"/>
        <scheme val="minor"/>
      </rPr>
      <t>: lcfix_new ouputs bogus date 1970-01-01, whereas the old one outputs 1900-01-01.  I ignore this for diff compares</t>
    </r>
  </si>
  <si>
    <t>Same command as above, to see if it's faster due to caching (no, but may already be faster above (compare to row 4)</t>
  </si>
  <si>
    <t xml:space="preserve">                     The Python processing loop imposes a ceiling of approximately 165 MB/s</t>
  </si>
  <si>
    <t xml:space="preserve">                              most of this speed-up comes from the less-frequent progress-bar updating (not shown above, but tested separately)</t>
  </si>
  <si>
    <r>
      <rPr>
        <b/>
        <sz val="12"/>
        <color theme="1"/>
        <rFont val="Calibri"/>
        <family val="2"/>
        <scheme val="minor"/>
      </rPr>
      <t>Conclusions</t>
    </r>
    <r>
      <rPr>
        <sz val="12"/>
        <color theme="1"/>
        <rFont val="Calibri"/>
        <family val="2"/>
        <scheme val="minor"/>
      </rPr>
      <t>:  The speed-up  from the old to new version of lcfix is ~3x</t>
    </r>
  </si>
  <si>
    <t xml:space="preserve">                              3.3x (from 115 MB/s to 379 MB/s) on an internal SSD</t>
  </si>
  <si>
    <t xml:space="preserve">                              1.6x (from 64 MB/s to 102 MB/s) on an external HDD</t>
  </si>
  <si>
    <t xml:space="preserve">                      According to ChatGPT, speeding up the internal loop by reprogramming in Rust could give a maximum further speedup of: </t>
  </si>
  <si>
    <t>mixed</t>
  </si>
  <si>
    <t xml:space="preserve">                     Reading from the external HDD and writing to the internal SSD (or copying to the SSD before operating, then copying back) may be almost as useful as Rust</t>
  </si>
  <si>
    <t xml:space="preserve">time lcfix_new -o /Volumes/Wayne_Data/_NoBackup/_OBS/MONN/temp_mixed  MONN.raw.lch </t>
  </si>
  <si>
    <t xml:space="preserve">                     Working on an internal SSD gives a further 2x speedup (the old version doesn't speed up at all)</t>
  </si>
  <si>
    <t>time lcfix_local -o temp --local MONN.raw.lch</t>
  </si>
  <si>
    <t>Newer lcfix that writes to a local disk, then moves the result back to the origin disk</t>
  </si>
  <si>
    <t>time lcfix_local -o temp MAYOBS30_MONR_DL07_OBS16.raw.lch --local</t>
  </si>
  <si>
    <t xml:space="preserve">                               My first test (read from ext HDD and write to int SDD) gave a throughput of 82.4 (vs 63.8 and 115 for purely HDD or SSD, respectively)</t>
  </si>
  <si>
    <t xml:space="preserve">                               My second test  (using new lcfix_optimized _local to read ext_HDD, write int_SDD and copy back) was not convincing: 65.1 MB/s</t>
  </si>
  <si>
    <t xml:space="preserve">                               My third test  (same config as second, but 24.07 GB file) was a little more iprovement: 59.5 MB/s versus 44.3 if all on int_HDD</t>
  </si>
  <si>
    <t>Command</t>
  </si>
  <si>
    <t>filesize (Go)</t>
  </si>
  <si>
    <t>time lcfix_{something} S13/GUADOBS_13.raw.lch -o {{something}</t>
  </si>
  <si>
    <t>time lcfix_{something} MONR/MAYOBS30_MONR_DL07_OBS16.raw.lch -o {{something}</t>
  </si>
  <si>
    <t>time lcfix_{something} MONN/MONN.raw.lch -o {{something}</t>
  </si>
  <si>
    <t>time lcfix_{something} -o temp_{something} MONN.raw.lch</t>
  </si>
  <si>
    <t>Read and process only, no faster on SSD</t>
  </si>
  <si>
    <t>Read, process and write, _new is 2x faster on SSD, _old is 1.05x faster</t>
  </si>
  <si>
    <t>Read from HDD, write to SDD: _new is 1.3x faster than read/write HDD</t>
  </si>
  <si>
    <t>time lcfix_{something} -o temp_{something} MAYOBS30_MONR_DL07_OBS16.raw.lch</t>
  </si>
  <si>
    <t>size</t>
  </si>
  <si>
    <t>lcfix_optimized_loca</t>
  </si>
  <si>
    <t>lcfix_optimized_local --local</t>
  </si>
  <si>
    <t>AVG</t>
  </si>
  <si>
    <t>source</t>
  </si>
  <si>
    <t>ext_HDD</t>
  </si>
  <si>
    <t>int_SDD</t>
  </si>
  <si>
    <t>MONN.raw.lch</t>
  </si>
  <si>
    <t>input file</t>
  </si>
  <si>
    <t>name</t>
  </si>
  <si>
    <t>lcfix_default</t>
  </si>
  <si>
    <t>lcfix_256K</t>
  </si>
  <si>
    <t>lcfix_1M</t>
  </si>
  <si>
    <t>lcfix_4M</t>
  </si>
  <si>
    <t>lcfix_16M</t>
  </si>
  <si>
    <t>inst_SDD</t>
  </si>
  <si>
    <t>MAYOBS30_MONR_DL07_OBS16.raw.lch</t>
  </si>
  <si>
    <t>--local</t>
  </si>
  <si>
    <t>options</t>
  </si>
  <si>
    <t>processing</t>
  </si>
  <si>
    <t>copy-back</t>
  </si>
  <si>
    <t>MONN.raw.lch, ext HDD, --local</t>
  </si>
  <si>
    <t>File size (GB)</t>
  </si>
  <si>
    <t>copying</t>
  </si>
  <si>
    <t>run #</t>
  </si>
  <si>
    <t>avg</t>
  </si>
  <si>
    <t>proc thrpt</t>
  </si>
  <si>
    <t>total 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</si>
</sst>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2"/>
      <color rgb="FF0070C0"/>
      <name val="Calibri"/>
      <family val="2"/>
      <scheme val="minor"/>
    </font>
    <font>
      <i/>
      <sz val="12"/>
      <color rgb="FF00B050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i/>
      <sz val="12"/>
      <color rgb="FF00B05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70" fontId="9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70" fontId="6" fillId="0" borderId="0" xfId="1" applyNumberFormat="1" applyFont="1"/>
    <xf numFmtId="170" fontId="5" fillId="0" borderId="0" xfId="1" applyNumberFormat="1" applyFont="1"/>
    <xf numFmtId="170" fontId="8" fillId="0" borderId="0" xfId="1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70" fontId="14" fillId="0" borderId="0" xfId="0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2" borderId="0" xfId="0" applyFill="1"/>
    <xf numFmtId="0" fontId="2" fillId="2" borderId="0" xfId="0" applyFont="1" applyFill="1"/>
    <xf numFmtId="0" fontId="4" fillId="2" borderId="0" xfId="0" applyFont="1" applyFill="1"/>
    <xf numFmtId="0" fontId="7" fillId="2" borderId="0" xfId="0" applyFont="1" applyFill="1"/>
    <xf numFmtId="0" fontId="9" fillId="2" borderId="0" xfId="0" applyFont="1" applyFill="1"/>
    <xf numFmtId="170" fontId="9" fillId="2" borderId="0" xfId="0" applyNumberFormat="1" applyFont="1" applyFill="1"/>
    <xf numFmtId="0" fontId="6" fillId="2" borderId="0" xfId="0" applyFont="1" applyFill="1"/>
    <xf numFmtId="0" fontId="5" fillId="2" borderId="0" xfId="0" applyFont="1" applyFill="1"/>
    <xf numFmtId="0" fontId="8" fillId="2" borderId="0" xfId="0" applyFont="1" applyFill="1"/>
    <xf numFmtId="0" fontId="18" fillId="0" borderId="0" xfId="0" applyFont="1"/>
    <xf numFmtId="0" fontId="19" fillId="0" borderId="0" xfId="0" applyFont="1"/>
    <xf numFmtId="170" fontId="19" fillId="0" borderId="0" xfId="0" applyNumberFormat="1" applyFont="1"/>
    <xf numFmtId="0" fontId="3" fillId="2" borderId="0" xfId="0" applyFont="1" applyFill="1"/>
    <xf numFmtId="0" fontId="20" fillId="2" borderId="0" xfId="0" applyFont="1" applyFill="1"/>
    <xf numFmtId="170" fontId="20" fillId="2" borderId="0" xfId="0" applyNumberFormat="1" applyFont="1" applyFill="1"/>
    <xf numFmtId="170" fontId="20" fillId="0" borderId="0" xfId="0" applyNumberFormat="1" applyFont="1"/>
    <xf numFmtId="170" fontId="3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1" fontId="8" fillId="0" borderId="0" xfId="0" applyNumberFormat="1" applyFont="1"/>
    <xf numFmtId="1" fontId="6" fillId="0" borderId="0" xfId="0" applyNumberFormat="1" applyFont="1"/>
    <xf numFmtId="1" fontId="20" fillId="0" borderId="0" xfId="0" applyNumberFormat="1" applyFont="1"/>
    <xf numFmtId="1" fontId="0" fillId="0" borderId="0" xfId="0" applyNumberFormat="1" applyFont="1"/>
    <xf numFmtId="1" fontId="9" fillId="0" borderId="0" xfId="0" applyNumberFormat="1" applyFont="1"/>
    <xf numFmtId="0" fontId="0" fillId="0" borderId="0" xfId="0" quotePrefix="1"/>
    <xf numFmtId="170" fontId="18" fillId="0" borderId="0" xfId="0" applyNumberFormat="1" applyFont="1"/>
    <xf numFmtId="170" fontId="10" fillId="0" borderId="0" xfId="0" applyNumberFormat="1" applyFont="1"/>
    <xf numFmtId="1" fontId="17" fillId="0" borderId="0" xfId="0" applyNumberFormat="1" applyFont="1"/>
    <xf numFmtId="170" fontId="17" fillId="0" borderId="0" xfId="0" applyNumberFormat="1" applyFont="1"/>
    <xf numFmtId="170" fontId="15" fillId="0" borderId="0" xfId="0" applyNumberFormat="1" applyFont="1"/>
    <xf numFmtId="0" fontId="0" fillId="0" borderId="1" xfId="0" applyBorder="1" applyAlignment="1">
      <alignment horizontal="center" vertical="center" textRotation="90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 applyAlignment="1">
      <alignment horizontal="center" vertical="center" textRotation="90"/>
    </xf>
    <xf numFmtId="0" fontId="0" fillId="0" borderId="0" xfId="0" applyBorder="1"/>
    <xf numFmtId="1" fontId="0" fillId="0" borderId="5" xfId="0" applyNumberFormat="1" applyBorder="1"/>
    <xf numFmtId="0" fontId="0" fillId="0" borderId="6" xfId="0" applyBorder="1" applyAlignment="1">
      <alignment horizontal="center" vertical="center" textRotation="90"/>
    </xf>
    <xf numFmtId="0" fontId="0" fillId="0" borderId="7" xfId="0" applyBorder="1"/>
    <xf numFmtId="170" fontId="10" fillId="0" borderId="7" xfId="0" applyNumberFormat="1" applyFont="1" applyBorder="1"/>
    <xf numFmtId="170" fontId="15" fillId="0" borderId="8" xfId="0" applyNumberFormat="1" applyFont="1" applyBorder="1"/>
    <xf numFmtId="1" fontId="17" fillId="0" borderId="8" xfId="0" applyNumberFormat="1" applyFont="1" applyBorder="1"/>
    <xf numFmtId="170" fontId="17" fillId="0" borderId="8" xfId="0" applyNumberFormat="1" applyFont="1" applyBorder="1"/>
    <xf numFmtId="0" fontId="0" fillId="0" borderId="0" xfId="0" applyFill="1" applyBorder="1"/>
    <xf numFmtId="0" fontId="0" fillId="0" borderId="1" xfId="0" applyBorder="1" applyAlignment="1">
      <alignment horizontal="left" vertical="center" textRotation="90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 vertical="center" textRotation="90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 vertical="center" textRotation="90"/>
    </xf>
    <xf numFmtId="0" fontId="0" fillId="0" borderId="7" xfId="0" applyBorder="1" applyAlignment="1">
      <alignment horizontal="left"/>
    </xf>
    <xf numFmtId="0" fontId="0" fillId="0" borderId="6" xfId="0" applyBorder="1"/>
    <xf numFmtId="0" fontId="3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 applyAlignment="1">
      <alignment horizontal="right"/>
    </xf>
    <xf numFmtId="1" fontId="0" fillId="0" borderId="3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5" xfId="0" applyNumberFormat="1" applyBorder="1" applyAlignment="1">
      <alignment horizontal="right"/>
    </xf>
    <xf numFmtId="0" fontId="10" fillId="0" borderId="0" xfId="0" applyFont="1" applyBorder="1"/>
    <xf numFmtId="170" fontId="10" fillId="0" borderId="0" xfId="0" applyNumberFormat="1" applyFont="1" applyBorder="1"/>
    <xf numFmtId="0" fontId="10" fillId="0" borderId="0" xfId="0" applyFon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70" fontId="10" fillId="0" borderId="7" xfId="0" applyNumberFormat="1" applyFont="1" applyBorder="1" applyAlignment="1">
      <alignment horizontal="right"/>
    </xf>
    <xf numFmtId="170" fontId="15" fillId="0" borderId="8" xfId="0" applyNumberFormat="1" applyFont="1" applyBorder="1" applyAlignment="1">
      <alignment horizontal="right"/>
    </xf>
    <xf numFmtId="170" fontId="13" fillId="0" borderId="5" xfId="0" applyNumberFormat="1" applyFont="1" applyBorder="1"/>
    <xf numFmtId="170" fontId="11" fillId="0" borderId="5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95AA-173F-6041-A63B-62CFA9FFB8E5}">
  <dimension ref="A1:Q31"/>
  <sheetViews>
    <sheetView workbookViewId="0">
      <selection activeCell="A17" sqref="A17"/>
    </sheetView>
  </sheetViews>
  <sheetFormatPr baseColWidth="10" defaultRowHeight="16" x14ac:dyDescent="0.2"/>
  <cols>
    <col min="1" max="1" width="79.33203125" customWidth="1"/>
    <col min="2" max="3" width="10" customWidth="1"/>
    <col min="4" max="4" width="7.33203125" style="5" customWidth="1"/>
    <col min="5" max="5" width="7.33203125" style="6" customWidth="1"/>
    <col min="6" max="6" width="7.33203125" style="9" customWidth="1"/>
    <col min="7" max="7" width="7.33203125" style="12" customWidth="1"/>
    <col min="8" max="8" width="7.33203125" style="5" customWidth="1"/>
    <col min="9" max="9" width="7.33203125" style="6" customWidth="1"/>
    <col min="10" max="10" width="7.33203125" style="9" customWidth="1"/>
    <col min="11" max="11" width="7.33203125" style="12" customWidth="1"/>
    <col min="12" max="12" width="7.33203125" style="8" customWidth="1"/>
    <col min="13" max="13" width="7.33203125" style="7" customWidth="1"/>
    <col min="14" max="14" width="7.33203125" style="10" customWidth="1"/>
    <col min="15" max="16" width="7.33203125" customWidth="1"/>
    <col min="17" max="17" width="41.33203125" customWidth="1"/>
  </cols>
  <sheetData>
    <row r="1" spans="1:17" x14ac:dyDescent="0.2">
      <c r="D1" s="2" t="s">
        <v>3</v>
      </c>
      <c r="E1" s="2"/>
      <c r="F1" s="2"/>
      <c r="G1" s="11"/>
      <c r="H1" s="2" t="s">
        <v>4</v>
      </c>
      <c r="I1" s="2"/>
      <c r="J1" s="2"/>
      <c r="K1" s="11"/>
      <c r="L1" s="3" t="s">
        <v>8</v>
      </c>
      <c r="M1" s="3"/>
      <c r="N1" s="3"/>
      <c r="O1" t="s">
        <v>5</v>
      </c>
      <c r="P1" t="s">
        <v>6</v>
      </c>
      <c r="Q1" t="s">
        <v>9</v>
      </c>
    </row>
    <row r="2" spans="1:17" x14ac:dyDescent="0.2">
      <c r="A2" t="s">
        <v>39</v>
      </c>
      <c r="B2" s="1" t="s">
        <v>40</v>
      </c>
      <c r="C2" s="1" t="s">
        <v>18</v>
      </c>
      <c r="D2" s="14" t="s">
        <v>0</v>
      </c>
      <c r="E2" s="15" t="s">
        <v>1</v>
      </c>
      <c r="F2" s="16" t="s">
        <v>2</v>
      </c>
      <c r="G2" s="11" t="s">
        <v>11</v>
      </c>
      <c r="H2" s="14" t="s">
        <v>0</v>
      </c>
      <c r="I2" s="15" t="s">
        <v>1</v>
      </c>
      <c r="J2" s="16" t="s">
        <v>2</v>
      </c>
      <c r="K2" s="11" t="s">
        <v>11</v>
      </c>
      <c r="L2" s="17" t="s">
        <v>0</v>
      </c>
      <c r="M2" s="18" t="s">
        <v>1</v>
      </c>
      <c r="N2" s="19" t="s">
        <v>2</v>
      </c>
    </row>
    <row r="3" spans="1:17" x14ac:dyDescent="0.2">
      <c r="A3" t="s">
        <v>41</v>
      </c>
      <c r="B3">
        <v>2.66</v>
      </c>
      <c r="C3" t="s">
        <v>19</v>
      </c>
      <c r="D3" s="5">
        <v>145.1</v>
      </c>
      <c r="E3" s="6">
        <v>107.9</v>
      </c>
      <c r="F3" s="9">
        <v>25.3</v>
      </c>
      <c r="G3" s="13">
        <f>B3*1024/D3</f>
        <v>18.772157133011717</v>
      </c>
      <c r="H3" s="5">
        <v>51.2</v>
      </c>
      <c r="I3" s="6">
        <v>30.7</v>
      </c>
      <c r="J3" s="9">
        <v>4.2</v>
      </c>
      <c r="K3" s="13">
        <f>B3*1024/H3</f>
        <v>53.2</v>
      </c>
      <c r="L3" s="20">
        <f>D3/H3</f>
        <v>2.8339843749999996</v>
      </c>
      <c r="M3" s="21">
        <f>E3/I3</f>
        <v>3.5146579804560263</v>
      </c>
      <c r="N3" s="22">
        <f>F3/J3</f>
        <v>6.0238095238095237</v>
      </c>
      <c r="O3" t="s">
        <v>7</v>
      </c>
      <c r="P3" t="s">
        <v>7</v>
      </c>
    </row>
    <row r="4" spans="1:17" x14ac:dyDescent="0.2">
      <c r="A4" t="s">
        <v>42</v>
      </c>
      <c r="B4">
        <v>24.07</v>
      </c>
      <c r="C4" t="s">
        <v>19</v>
      </c>
      <c r="D4" s="5">
        <v>1729</v>
      </c>
      <c r="E4" s="6">
        <v>1243</v>
      </c>
      <c r="F4" s="9">
        <v>299</v>
      </c>
      <c r="G4" s="13">
        <f>B4*1024/D4</f>
        <v>14.255454019664546</v>
      </c>
      <c r="H4" s="5">
        <v>556</v>
      </c>
      <c r="I4" s="6">
        <v>295</v>
      </c>
      <c r="J4" s="9">
        <v>48</v>
      </c>
      <c r="K4" s="13">
        <f>B4*1024/H4</f>
        <v>44.330359712230219</v>
      </c>
      <c r="L4" s="20">
        <f>D4/H4</f>
        <v>3.1097122302158273</v>
      </c>
      <c r="M4" s="21">
        <f t="shared" ref="M4" si="0">E4/I4</f>
        <v>4.2135593220338983</v>
      </c>
      <c r="N4" s="22">
        <f t="shared" ref="N4" si="1">F4/J4</f>
        <v>6.229166666666667</v>
      </c>
      <c r="O4" t="s">
        <v>7</v>
      </c>
      <c r="P4" t="s">
        <v>7</v>
      </c>
    </row>
    <row r="5" spans="1:17" x14ac:dyDescent="0.2">
      <c r="A5" t="s">
        <v>43</v>
      </c>
      <c r="B5">
        <v>9.41</v>
      </c>
      <c r="C5" t="s">
        <v>19</v>
      </c>
      <c r="D5" s="5">
        <v>466.4</v>
      </c>
      <c r="E5" s="6">
        <v>357.5</v>
      </c>
      <c r="F5" s="9">
        <v>79.599999999999994</v>
      </c>
      <c r="G5" s="13">
        <f t="shared" ref="G5" si="2">B5*1024/D5</f>
        <v>20.660034305317325</v>
      </c>
      <c r="H5" s="5">
        <v>184.4</v>
      </c>
      <c r="I5" s="6">
        <v>112.5</v>
      </c>
      <c r="J5" s="9">
        <v>13.4</v>
      </c>
      <c r="K5" s="13">
        <f>B5*1024/H5</f>
        <v>52.25509761388286</v>
      </c>
      <c r="L5" s="20">
        <f>D5/H5</f>
        <v>2.5292841648590021</v>
      </c>
      <c r="M5" s="21">
        <f t="shared" ref="M5" si="3">E5/I5</f>
        <v>3.1777777777777776</v>
      </c>
      <c r="N5" s="22">
        <f t="shared" ref="N5" si="4">F5/J5</f>
        <v>5.9402985074626864</v>
      </c>
      <c r="O5" t="s">
        <v>7</v>
      </c>
      <c r="P5" t="s">
        <v>7</v>
      </c>
    </row>
    <row r="7" spans="1:17" s="23" customFormat="1" x14ac:dyDescent="0.2">
      <c r="A7" s="23" t="s">
        <v>15</v>
      </c>
      <c r="B7" s="23">
        <v>9.41</v>
      </c>
      <c r="C7" s="23" t="s">
        <v>19</v>
      </c>
      <c r="D7" s="24"/>
      <c r="E7" s="25"/>
      <c r="F7" s="26"/>
      <c r="G7" s="27"/>
      <c r="H7" s="24">
        <v>35.6</v>
      </c>
      <c r="I7" s="25">
        <v>1E-3</v>
      </c>
      <c r="J7" s="26">
        <v>7.2</v>
      </c>
      <c r="K7" s="28">
        <f>B7*1024/H7</f>
        <v>270.66966292134833</v>
      </c>
      <c r="L7" s="29"/>
      <c r="M7" s="30"/>
      <c r="N7" s="31"/>
      <c r="Q7" s="23" t="s">
        <v>12</v>
      </c>
    </row>
    <row r="8" spans="1:17" s="32" customFormat="1" x14ac:dyDescent="0.2">
      <c r="A8" s="32" t="s">
        <v>13</v>
      </c>
      <c r="B8" s="32">
        <v>9.41</v>
      </c>
      <c r="C8" s="32" t="s">
        <v>19</v>
      </c>
      <c r="D8" s="33"/>
      <c r="E8" s="34"/>
      <c r="F8" s="35"/>
      <c r="G8" s="36"/>
      <c r="H8" s="33">
        <v>57.7</v>
      </c>
      <c r="I8" s="34">
        <v>53.2</v>
      </c>
      <c r="J8" s="35">
        <v>3.4</v>
      </c>
      <c r="K8" s="37">
        <f t="shared" ref="K8:K13" si="5">B8*1024/H8</f>
        <v>166.99896013864819</v>
      </c>
      <c r="L8" s="38"/>
      <c r="M8" s="39"/>
      <c r="N8" s="40"/>
      <c r="Q8" s="32" t="s">
        <v>16</v>
      </c>
    </row>
    <row r="9" spans="1:17" x14ac:dyDescent="0.2">
      <c r="A9" t="s">
        <v>14</v>
      </c>
      <c r="B9">
        <v>9.41</v>
      </c>
      <c r="C9" t="s">
        <v>19</v>
      </c>
      <c r="H9" s="5">
        <v>151</v>
      </c>
      <c r="I9" s="6">
        <v>82</v>
      </c>
      <c r="J9" s="9">
        <v>12.7</v>
      </c>
      <c r="K9" s="13">
        <f t="shared" si="5"/>
        <v>63.813509933774839</v>
      </c>
      <c r="Q9" t="s">
        <v>17</v>
      </c>
    </row>
    <row r="10" spans="1:17" x14ac:dyDescent="0.2">
      <c r="A10" t="s">
        <v>14</v>
      </c>
      <c r="B10">
        <v>9.41</v>
      </c>
      <c r="C10" t="s">
        <v>19</v>
      </c>
      <c r="H10" s="5">
        <v>152</v>
      </c>
      <c r="I10" s="6">
        <v>80</v>
      </c>
      <c r="J10" s="9">
        <v>12.9</v>
      </c>
      <c r="K10" s="13">
        <f t="shared" si="5"/>
        <v>63.393684210526317</v>
      </c>
      <c r="Q10" t="s">
        <v>22</v>
      </c>
    </row>
    <row r="11" spans="1:17" s="23" customFormat="1" x14ac:dyDescent="0.2">
      <c r="A11" s="23" t="s">
        <v>15</v>
      </c>
      <c r="B11" s="23">
        <v>9.41</v>
      </c>
      <c r="C11" s="41" t="s">
        <v>20</v>
      </c>
      <c r="D11" s="29"/>
      <c r="E11" s="30"/>
      <c r="F11" s="31"/>
      <c r="G11" s="42"/>
      <c r="H11" s="29">
        <v>3.37</v>
      </c>
      <c r="I11" s="30">
        <v>6.0000000000000001E-3</v>
      </c>
      <c r="J11" s="31">
        <v>3.1</v>
      </c>
      <c r="K11" s="43">
        <f t="shared" si="5"/>
        <v>2859.2997032640951</v>
      </c>
      <c r="L11" s="29"/>
      <c r="M11" s="30"/>
      <c r="N11" s="31"/>
      <c r="Q11" s="23" t="s">
        <v>12</v>
      </c>
    </row>
    <row r="12" spans="1:17" s="32" customFormat="1" x14ac:dyDescent="0.2">
      <c r="A12" s="32" t="s">
        <v>13</v>
      </c>
      <c r="B12" s="32">
        <v>9.41</v>
      </c>
      <c r="C12" s="44" t="s">
        <v>20</v>
      </c>
      <c r="D12" s="38"/>
      <c r="E12" s="39"/>
      <c r="F12" s="40"/>
      <c r="G12" s="45"/>
      <c r="H12" s="38">
        <v>58.5</v>
      </c>
      <c r="I12" s="39">
        <v>54</v>
      </c>
      <c r="J12" s="40">
        <v>3.5</v>
      </c>
      <c r="K12" s="46">
        <f t="shared" si="5"/>
        <v>164.71521367521368</v>
      </c>
      <c r="L12" s="38"/>
      <c r="M12" s="39"/>
      <c r="N12" s="40"/>
      <c r="Q12" s="32" t="s">
        <v>45</v>
      </c>
    </row>
    <row r="13" spans="1:17" x14ac:dyDescent="0.2">
      <c r="A13" t="s">
        <v>44</v>
      </c>
      <c r="B13">
        <v>9.41</v>
      </c>
      <c r="C13" s="4" t="s">
        <v>20</v>
      </c>
      <c r="D13" s="8">
        <v>444</v>
      </c>
      <c r="E13" s="7">
        <v>346</v>
      </c>
      <c r="F13" s="10">
        <v>78</v>
      </c>
      <c r="G13" s="47">
        <f t="shared" ref="G13" si="6">B13*1024/D13</f>
        <v>21.702342342342341</v>
      </c>
      <c r="H13" s="8">
        <v>83.6</v>
      </c>
      <c r="I13" s="7">
        <v>74.3</v>
      </c>
      <c r="J13" s="10">
        <v>7.5</v>
      </c>
      <c r="K13" s="47">
        <f t="shared" si="5"/>
        <v>115.26124401913877</v>
      </c>
      <c r="L13" s="20">
        <f>D13/H13</f>
        <v>5.3110047846889952</v>
      </c>
      <c r="M13" s="21">
        <f t="shared" ref="M13" si="7">E13/I13</f>
        <v>4.6567967698519519</v>
      </c>
      <c r="N13" s="22">
        <f t="shared" ref="N13" si="8">F13/J13</f>
        <v>10.4</v>
      </c>
      <c r="Q13" t="s">
        <v>46</v>
      </c>
    </row>
    <row r="14" spans="1:17" x14ac:dyDescent="0.2">
      <c r="A14" t="s">
        <v>31</v>
      </c>
      <c r="B14">
        <v>9.41</v>
      </c>
      <c r="C14" t="s">
        <v>29</v>
      </c>
      <c r="H14" s="5">
        <v>117</v>
      </c>
      <c r="I14" s="6">
        <v>78</v>
      </c>
      <c r="J14" s="9">
        <v>11.8</v>
      </c>
      <c r="K14" s="13">
        <f t="shared" ref="K14:K15" si="9">B14*1024/H14</f>
        <v>82.357606837606838</v>
      </c>
      <c r="Q14" t="s">
        <v>47</v>
      </c>
    </row>
    <row r="15" spans="1:17" x14ac:dyDescent="0.2">
      <c r="A15" t="s">
        <v>33</v>
      </c>
      <c r="B15">
        <v>9.41</v>
      </c>
      <c r="C15" t="s">
        <v>19</v>
      </c>
      <c r="H15" s="5">
        <v>148</v>
      </c>
      <c r="I15" s="6">
        <v>75</v>
      </c>
      <c r="J15" s="9">
        <v>24</v>
      </c>
      <c r="K15" s="13">
        <f t="shared" si="9"/>
        <v>65.10702702702703</v>
      </c>
      <c r="Q15" t="s">
        <v>34</v>
      </c>
    </row>
    <row r="16" spans="1:17" x14ac:dyDescent="0.2">
      <c r="A16" t="s">
        <v>35</v>
      </c>
      <c r="B16">
        <v>24.07</v>
      </c>
      <c r="C16" t="s">
        <v>19</v>
      </c>
      <c r="D16" s="5">
        <v>1473</v>
      </c>
      <c r="E16" s="6">
        <v>1048</v>
      </c>
      <c r="F16" s="9">
        <v>242</v>
      </c>
      <c r="G16" s="47">
        <f t="shared" ref="G16" si="10">B16*1024/D16</f>
        <v>16.732980312287847</v>
      </c>
      <c r="H16" s="5">
        <v>414</v>
      </c>
      <c r="I16" s="6">
        <v>197</v>
      </c>
      <c r="J16" s="9">
        <v>67</v>
      </c>
      <c r="K16" s="13">
        <f t="shared" ref="K16:K17" si="11">B16*1024/H16</f>
        <v>59.535458937198065</v>
      </c>
      <c r="L16" s="20">
        <f>D16/H16</f>
        <v>3.5579710144927534</v>
      </c>
      <c r="M16" s="21">
        <f t="shared" ref="M16" si="12">E16/I16</f>
        <v>5.3197969543147208</v>
      </c>
      <c r="N16" s="22">
        <f t="shared" ref="N16" si="13">F16/J16</f>
        <v>3.6119402985074629</v>
      </c>
      <c r="P16" t="s">
        <v>7</v>
      </c>
      <c r="Q16" t="s">
        <v>34</v>
      </c>
    </row>
    <row r="17" spans="1:11" x14ac:dyDescent="0.2">
      <c r="A17" t="s">
        <v>48</v>
      </c>
      <c r="B17">
        <v>24.07</v>
      </c>
      <c r="D17" s="5">
        <v>331</v>
      </c>
      <c r="E17" s="6">
        <v>223</v>
      </c>
      <c r="F17" s="9">
        <v>61</v>
      </c>
      <c r="H17" s="5">
        <v>434</v>
      </c>
      <c r="I17" s="6">
        <v>204</v>
      </c>
      <c r="J17" s="9">
        <v>43</v>
      </c>
      <c r="K17" s="12">
        <f t="shared" si="11"/>
        <v>56.791889400921661</v>
      </c>
    </row>
    <row r="19" spans="1:11" x14ac:dyDescent="0.2">
      <c r="A19" t="s">
        <v>25</v>
      </c>
    </row>
    <row r="20" spans="1:11" x14ac:dyDescent="0.2">
      <c r="A20" t="s">
        <v>24</v>
      </c>
    </row>
    <row r="21" spans="1:11" x14ac:dyDescent="0.2">
      <c r="A21" t="s">
        <v>32</v>
      </c>
    </row>
    <row r="22" spans="1:11" x14ac:dyDescent="0.2">
      <c r="A22" t="s">
        <v>23</v>
      </c>
    </row>
    <row r="23" spans="1:11" x14ac:dyDescent="0.2">
      <c r="A23" t="s">
        <v>28</v>
      </c>
    </row>
    <row r="24" spans="1:11" x14ac:dyDescent="0.2">
      <c r="A24" t="s">
        <v>26</v>
      </c>
    </row>
    <row r="25" spans="1:11" x14ac:dyDescent="0.2">
      <c r="A25" t="s">
        <v>27</v>
      </c>
    </row>
    <row r="26" spans="1:11" x14ac:dyDescent="0.2">
      <c r="A26" t="s">
        <v>30</v>
      </c>
    </row>
    <row r="27" spans="1:11" x14ac:dyDescent="0.2">
      <c r="A27" t="s">
        <v>36</v>
      </c>
    </row>
    <row r="28" spans="1:11" ht="17" customHeight="1" x14ac:dyDescent="0.2">
      <c r="A28" t="s">
        <v>37</v>
      </c>
    </row>
    <row r="29" spans="1:11" ht="17" customHeight="1" x14ac:dyDescent="0.2">
      <c r="A29" t="s">
        <v>38</v>
      </c>
    </row>
    <row r="31" spans="1:11" x14ac:dyDescent="0.2">
      <c r="A31" t="s">
        <v>21</v>
      </c>
    </row>
  </sheetData>
  <mergeCells count="3">
    <mergeCell ref="D1:F1"/>
    <mergeCell ref="L1:N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5622-498F-1A4A-9963-C25C8DC36A22}">
  <dimension ref="A1:O16"/>
  <sheetViews>
    <sheetView zoomScale="108" workbookViewId="0">
      <selection activeCell="G6" sqref="G6"/>
    </sheetView>
  </sheetViews>
  <sheetFormatPr baseColWidth="10" defaultRowHeight="16" x14ac:dyDescent="0.2"/>
  <cols>
    <col min="1" max="1" width="17.5" customWidth="1"/>
    <col min="4" max="4" width="12.6640625" bestFit="1" customWidth="1"/>
    <col min="5" max="6" width="11.6640625" bestFit="1" customWidth="1"/>
    <col min="7" max="7" width="11.6640625" style="4" bestFit="1" customWidth="1"/>
    <col min="8" max="9" width="11.6640625" bestFit="1" customWidth="1"/>
    <col min="10" max="10" width="11.1640625" bestFit="1" customWidth="1"/>
    <col min="11" max="11" width="12.6640625" style="4" bestFit="1" customWidth="1"/>
    <col min="12" max="12" width="12.6640625" bestFit="1" customWidth="1"/>
    <col min="13" max="14" width="11.6640625" bestFit="1" customWidth="1"/>
    <col min="15" max="15" width="11.6640625" style="4" bestFit="1" customWidth="1"/>
  </cols>
  <sheetData>
    <row r="1" spans="1:15" x14ac:dyDescent="0.2">
      <c r="A1" s="2" t="s">
        <v>57</v>
      </c>
      <c r="B1" s="2"/>
      <c r="C1" s="2"/>
      <c r="D1" s="2" t="s">
        <v>3</v>
      </c>
      <c r="E1" s="2"/>
      <c r="F1" s="2"/>
      <c r="G1" s="2"/>
      <c r="H1" s="2" t="s">
        <v>50</v>
      </c>
      <c r="I1" s="2"/>
      <c r="J1" s="2"/>
      <c r="K1" s="2"/>
      <c r="L1" s="2" t="s">
        <v>51</v>
      </c>
      <c r="M1" s="2"/>
      <c r="N1" s="2"/>
      <c r="O1" s="2"/>
    </row>
    <row r="2" spans="1:15" x14ac:dyDescent="0.2">
      <c r="A2" t="s">
        <v>58</v>
      </c>
      <c r="B2" t="s">
        <v>49</v>
      </c>
      <c r="C2" t="s">
        <v>53</v>
      </c>
      <c r="D2" t="s">
        <v>0</v>
      </c>
      <c r="E2" t="s">
        <v>1</v>
      </c>
      <c r="F2" t="s">
        <v>2</v>
      </c>
      <c r="G2" s="4" t="s">
        <v>10</v>
      </c>
      <c r="H2" t="s">
        <v>0</v>
      </c>
      <c r="I2" t="s">
        <v>1</v>
      </c>
      <c r="J2" t="s">
        <v>2</v>
      </c>
      <c r="K2" s="4" t="s">
        <v>10</v>
      </c>
      <c r="L2" t="s">
        <v>0</v>
      </c>
      <c r="M2" t="s">
        <v>1</v>
      </c>
      <c r="N2" t="s">
        <v>2</v>
      </c>
      <c r="O2" s="4" t="s">
        <v>10</v>
      </c>
    </row>
    <row r="3" spans="1:15" x14ac:dyDescent="0.2">
      <c r="B3">
        <v>24.07</v>
      </c>
      <c r="C3" t="s">
        <v>54</v>
      </c>
      <c r="D3">
        <v>334</v>
      </c>
      <c r="E3">
        <v>225</v>
      </c>
      <c r="F3">
        <v>57</v>
      </c>
      <c r="G3" s="48">
        <f>B3*1024/D3</f>
        <v>73.795449101796407</v>
      </c>
      <c r="H3">
        <v>434</v>
      </c>
      <c r="I3">
        <v>204</v>
      </c>
      <c r="J3">
        <v>45</v>
      </c>
      <c r="K3" s="48">
        <f>B3*1024/H3</f>
        <v>56.791889400921661</v>
      </c>
      <c r="L3">
        <v>403</v>
      </c>
      <c r="M3">
        <v>198</v>
      </c>
      <c r="N3">
        <v>65</v>
      </c>
      <c r="O3" s="48">
        <f>B3*1024/L3</f>
        <v>61.160496277915634</v>
      </c>
    </row>
    <row r="4" spans="1:15" x14ac:dyDescent="0.2">
      <c r="B4">
        <v>24.07</v>
      </c>
      <c r="C4" t="s">
        <v>54</v>
      </c>
      <c r="D4">
        <v>326</v>
      </c>
      <c r="E4">
        <v>221</v>
      </c>
      <c r="F4">
        <v>57</v>
      </c>
      <c r="G4" s="48">
        <f t="shared" ref="G4:G5" si="0">B4*1024/D4</f>
        <v>75.606380368098158</v>
      </c>
      <c r="H4">
        <v>434</v>
      </c>
      <c r="I4">
        <v>205</v>
      </c>
      <c r="J4">
        <v>42</v>
      </c>
      <c r="K4" s="48">
        <f t="shared" ref="K4:K5" si="1">B4*1024/H4</f>
        <v>56.791889400921661</v>
      </c>
      <c r="L4">
        <v>412</v>
      </c>
      <c r="M4">
        <v>200</v>
      </c>
      <c r="N4">
        <v>65</v>
      </c>
      <c r="O4" s="48">
        <f t="shared" ref="O4:O5" si="2">B4*1024/L4</f>
        <v>59.824466019417478</v>
      </c>
    </row>
    <row r="5" spans="1:15" x14ac:dyDescent="0.2">
      <c r="B5">
        <v>24.07</v>
      </c>
      <c r="C5" t="s">
        <v>54</v>
      </c>
      <c r="D5">
        <v>337</v>
      </c>
      <c r="E5">
        <v>218</v>
      </c>
      <c r="F5">
        <v>60</v>
      </c>
      <c r="G5" s="48">
        <f t="shared" si="0"/>
        <v>73.138516320474778</v>
      </c>
      <c r="H5">
        <v>436</v>
      </c>
      <c r="I5">
        <v>204</v>
      </c>
      <c r="J5">
        <v>52</v>
      </c>
      <c r="K5" s="48">
        <f t="shared" si="1"/>
        <v>56.531376146788993</v>
      </c>
      <c r="L5">
        <v>420</v>
      </c>
      <c r="M5">
        <v>203</v>
      </c>
      <c r="N5">
        <v>69</v>
      </c>
      <c r="O5" s="48">
        <f t="shared" si="2"/>
        <v>58.684952380952382</v>
      </c>
    </row>
    <row r="6" spans="1:15" s="4" customFormat="1" x14ac:dyDescent="0.2">
      <c r="A6" s="4" t="s">
        <v>52</v>
      </c>
      <c r="D6" s="54">
        <f>AVERAGE(D3:D5)</f>
        <v>332.33333333333331</v>
      </c>
      <c r="E6" s="55">
        <f t="shared" ref="E6:O6" si="3">AVERAGE(E3:E5)</f>
        <v>221.33333333333334</v>
      </c>
      <c r="F6" s="54">
        <f t="shared" si="3"/>
        <v>58</v>
      </c>
      <c r="G6" s="51">
        <f t="shared" si="3"/>
        <v>74.180115263456443</v>
      </c>
      <c r="H6" s="54">
        <f t="shared" si="3"/>
        <v>434.66666666666669</v>
      </c>
      <c r="I6" s="54">
        <f t="shared" si="3"/>
        <v>204.33333333333334</v>
      </c>
      <c r="J6" s="55">
        <f t="shared" si="3"/>
        <v>46.333333333333336</v>
      </c>
      <c r="K6" s="52">
        <f t="shared" si="3"/>
        <v>56.70505164954411</v>
      </c>
      <c r="L6" s="54">
        <f t="shared" si="3"/>
        <v>411.66666666666669</v>
      </c>
      <c r="M6" s="55">
        <f t="shared" si="3"/>
        <v>200.33333333333334</v>
      </c>
      <c r="N6" s="55">
        <f t="shared" si="3"/>
        <v>66.333333333333329</v>
      </c>
      <c r="O6" s="49">
        <f t="shared" si="3"/>
        <v>59.889971559428496</v>
      </c>
    </row>
    <row r="8" spans="1:15" x14ac:dyDescent="0.2">
      <c r="A8" t="s">
        <v>56</v>
      </c>
      <c r="B8">
        <v>9.41</v>
      </c>
      <c r="C8" t="s">
        <v>55</v>
      </c>
      <c r="D8">
        <v>112</v>
      </c>
      <c r="E8">
        <v>85</v>
      </c>
      <c r="F8">
        <v>23</v>
      </c>
      <c r="G8" s="48">
        <f>B8*1024/D8</f>
        <v>86.034285714285716</v>
      </c>
      <c r="H8">
        <v>83</v>
      </c>
      <c r="I8">
        <v>73</v>
      </c>
      <c r="J8">
        <v>8</v>
      </c>
      <c r="K8" s="48">
        <f>B8*1024/H8</f>
        <v>116.0944578313253</v>
      </c>
      <c r="L8">
        <v>97</v>
      </c>
      <c r="M8">
        <v>74</v>
      </c>
      <c r="N8">
        <v>15</v>
      </c>
      <c r="O8" s="48">
        <f>B8*1024/L8</f>
        <v>99.338556701030925</v>
      </c>
    </row>
    <row r="9" spans="1:15" x14ac:dyDescent="0.2">
      <c r="A9" t="s">
        <v>56</v>
      </c>
      <c r="B9">
        <v>9.41</v>
      </c>
      <c r="C9" t="s">
        <v>55</v>
      </c>
      <c r="D9">
        <v>108</v>
      </c>
      <c r="E9">
        <v>83</v>
      </c>
      <c r="F9">
        <v>21</v>
      </c>
      <c r="G9" s="48">
        <f t="shared" ref="G9:G10" si="4">B9*1024/D9</f>
        <v>89.220740740740737</v>
      </c>
      <c r="H9">
        <v>83</v>
      </c>
      <c r="I9">
        <v>74</v>
      </c>
      <c r="J9">
        <v>8</v>
      </c>
      <c r="K9" s="48">
        <f t="shared" ref="K9:K10" si="5">B9*1024/H9</f>
        <v>116.0944578313253</v>
      </c>
      <c r="L9">
        <v>84</v>
      </c>
      <c r="M9">
        <v>74</v>
      </c>
      <c r="N9">
        <v>14</v>
      </c>
      <c r="O9" s="48">
        <f t="shared" ref="O9:O10" si="6">B9*1024/L9</f>
        <v>114.71238095238095</v>
      </c>
    </row>
    <row r="10" spans="1:15" x14ac:dyDescent="0.2">
      <c r="A10" t="s">
        <v>56</v>
      </c>
      <c r="B10">
        <v>9.41</v>
      </c>
      <c r="C10" t="s">
        <v>55</v>
      </c>
      <c r="D10">
        <v>131</v>
      </c>
      <c r="E10">
        <v>103</v>
      </c>
      <c r="F10">
        <v>25</v>
      </c>
      <c r="G10" s="48">
        <f t="shared" si="4"/>
        <v>73.556030534351152</v>
      </c>
      <c r="H10">
        <v>104</v>
      </c>
      <c r="I10">
        <v>94</v>
      </c>
      <c r="J10">
        <v>8</v>
      </c>
      <c r="K10" s="48">
        <f t="shared" si="5"/>
        <v>92.652307692307687</v>
      </c>
      <c r="L10">
        <v>139</v>
      </c>
      <c r="M10">
        <v>112</v>
      </c>
      <c r="N10">
        <v>17</v>
      </c>
      <c r="O10" s="48">
        <f t="shared" si="6"/>
        <v>69.322589928057553</v>
      </c>
    </row>
    <row r="11" spans="1:15" x14ac:dyDescent="0.2">
      <c r="D11" s="50">
        <f>AVERAGE(D8:D10)</f>
        <v>117</v>
      </c>
      <c r="E11" s="50">
        <f t="shared" ref="E11:O11" si="7">AVERAGE(E8:E10)</f>
        <v>90.333333333333329</v>
      </c>
      <c r="F11" s="50">
        <f t="shared" si="7"/>
        <v>23</v>
      </c>
      <c r="G11" s="52">
        <f t="shared" si="7"/>
        <v>82.937018996459202</v>
      </c>
      <c r="H11" s="50">
        <f t="shared" si="7"/>
        <v>90</v>
      </c>
      <c r="I11" s="50">
        <f t="shared" si="7"/>
        <v>80.333333333333329</v>
      </c>
      <c r="J11" s="50">
        <f t="shared" si="7"/>
        <v>8</v>
      </c>
      <c r="K11" s="51">
        <f t="shared" si="7"/>
        <v>108.2804077849861</v>
      </c>
      <c r="L11" s="50">
        <f t="shared" si="7"/>
        <v>106.66666666666667</v>
      </c>
      <c r="M11" s="50">
        <f t="shared" si="7"/>
        <v>86.666666666666671</v>
      </c>
      <c r="N11" s="50">
        <f t="shared" si="7"/>
        <v>15.333333333333334</v>
      </c>
      <c r="O11" s="53">
        <f t="shared" si="7"/>
        <v>94.457842527156473</v>
      </c>
    </row>
    <row r="13" spans="1:15" x14ac:dyDescent="0.2">
      <c r="A13" t="s">
        <v>56</v>
      </c>
      <c r="B13">
        <v>9.41</v>
      </c>
      <c r="C13" t="s">
        <v>54</v>
      </c>
      <c r="D13">
        <v>135</v>
      </c>
      <c r="E13">
        <v>88</v>
      </c>
      <c r="F13">
        <v>24</v>
      </c>
      <c r="G13" s="48">
        <f>B13*1024/D13</f>
        <v>71.376592592592587</v>
      </c>
      <c r="H13">
        <v>150</v>
      </c>
      <c r="I13">
        <v>80</v>
      </c>
      <c r="J13">
        <v>13</v>
      </c>
      <c r="K13" s="48">
        <f>B13*1024/H13</f>
        <v>64.238933333333335</v>
      </c>
      <c r="L13">
        <v>131</v>
      </c>
      <c r="M13">
        <v>73</v>
      </c>
      <c r="N13">
        <v>20</v>
      </c>
      <c r="O13" s="48">
        <f>B13*1024/L13</f>
        <v>73.556030534351152</v>
      </c>
    </row>
    <row r="14" spans="1:15" x14ac:dyDescent="0.2">
      <c r="A14" t="s">
        <v>56</v>
      </c>
      <c r="B14">
        <v>9.41</v>
      </c>
      <c r="C14" t="s">
        <v>54</v>
      </c>
      <c r="D14">
        <v>128</v>
      </c>
      <c r="E14">
        <v>86</v>
      </c>
      <c r="F14">
        <v>22</v>
      </c>
      <c r="G14" s="48">
        <f t="shared" ref="G14:G15" si="8">B14*1024/D14</f>
        <v>75.28</v>
      </c>
      <c r="H14">
        <v>150</v>
      </c>
      <c r="I14">
        <v>80</v>
      </c>
      <c r="J14">
        <v>14</v>
      </c>
      <c r="K14" s="48">
        <f t="shared" ref="K14:K15" si="9">B14*1024/H14</f>
        <v>64.238933333333335</v>
      </c>
      <c r="L14">
        <v>141</v>
      </c>
      <c r="M14">
        <v>83</v>
      </c>
      <c r="N14">
        <v>20</v>
      </c>
      <c r="O14" s="48">
        <f t="shared" ref="O14:O15" si="10">B14*1024/L14</f>
        <v>68.339290780141852</v>
      </c>
    </row>
    <row r="15" spans="1:15" x14ac:dyDescent="0.2">
      <c r="A15" t="s">
        <v>56</v>
      </c>
      <c r="B15">
        <v>9.41</v>
      </c>
      <c r="C15" t="s">
        <v>54</v>
      </c>
      <c r="D15">
        <v>143</v>
      </c>
      <c r="E15">
        <v>88</v>
      </c>
      <c r="F15">
        <v>22</v>
      </c>
      <c r="G15" s="48">
        <f t="shared" si="8"/>
        <v>67.383496503496502</v>
      </c>
      <c r="H15">
        <v>151</v>
      </c>
      <c r="I15">
        <v>80</v>
      </c>
      <c r="J15">
        <v>14</v>
      </c>
      <c r="K15" s="48">
        <f t="shared" si="9"/>
        <v>63.813509933774839</v>
      </c>
      <c r="L15">
        <v>127</v>
      </c>
      <c r="M15">
        <v>72</v>
      </c>
      <c r="N15">
        <v>20</v>
      </c>
      <c r="O15" s="48">
        <f t="shared" si="10"/>
        <v>75.872755905511809</v>
      </c>
    </row>
    <row r="16" spans="1:15" x14ac:dyDescent="0.2">
      <c r="D16" s="50">
        <f>AVERAGE(D13:D15)</f>
        <v>135.33333333333334</v>
      </c>
      <c r="E16" s="50">
        <f t="shared" ref="E16:O16" si="11">AVERAGE(E13:E15)</f>
        <v>87.333333333333329</v>
      </c>
      <c r="F16" s="50">
        <f t="shared" si="11"/>
        <v>22.666666666666668</v>
      </c>
      <c r="G16" s="49">
        <f t="shared" si="11"/>
        <v>71.34669636536303</v>
      </c>
      <c r="H16" s="50">
        <f t="shared" si="11"/>
        <v>150.33333333333334</v>
      </c>
      <c r="I16" s="50">
        <f t="shared" si="11"/>
        <v>80</v>
      </c>
      <c r="J16" s="50">
        <f t="shared" si="11"/>
        <v>13.666666666666666</v>
      </c>
      <c r="K16" s="52">
        <f t="shared" si="11"/>
        <v>64.097125533480508</v>
      </c>
      <c r="L16" s="50">
        <f t="shared" si="11"/>
        <v>133</v>
      </c>
      <c r="M16" s="50">
        <f t="shared" si="11"/>
        <v>76</v>
      </c>
      <c r="N16" s="50">
        <f t="shared" si="11"/>
        <v>20</v>
      </c>
      <c r="O16" s="51">
        <f t="shared" si="11"/>
        <v>72.589359073334933</v>
      </c>
    </row>
  </sheetData>
  <mergeCells count="4">
    <mergeCell ref="D1:G1"/>
    <mergeCell ref="H1:K1"/>
    <mergeCell ref="L1:O1"/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7D52-433C-7F47-B7DE-DAAF86DE98E2}">
  <dimension ref="A1:AD20"/>
  <sheetViews>
    <sheetView zoomScale="108" workbookViewId="0">
      <pane xSplit="4" ySplit="2" topLeftCell="N3" activePane="bottomRight" state="frozenSplit"/>
      <selection pane="topRight" activeCell="E1" sqref="E1"/>
      <selection pane="bottomLeft" activeCell="A3" sqref="A3"/>
      <selection pane="bottomRight" activeCell="A17" sqref="A17:AB20"/>
    </sheetView>
  </sheetViews>
  <sheetFormatPr baseColWidth="10" defaultRowHeight="16" x14ac:dyDescent="0.2"/>
  <cols>
    <col min="1" max="1" width="17.5" customWidth="1"/>
    <col min="4" max="4" width="9.33203125" customWidth="1"/>
    <col min="5" max="7" width="6.83203125" customWidth="1"/>
    <col min="8" max="8" width="11.6640625" style="23" bestFit="1" customWidth="1"/>
    <col min="9" max="11" width="6.83203125" customWidth="1"/>
    <col min="12" max="12" width="12.6640625" style="23" bestFit="1" customWidth="1"/>
    <col min="13" max="15" width="6.83203125" customWidth="1"/>
    <col min="16" max="16" width="11.6640625" style="23" bestFit="1" customWidth="1"/>
    <col min="17" max="19" width="6.83203125" customWidth="1"/>
    <col min="20" max="20" width="11.6640625" style="23" bestFit="1" customWidth="1"/>
    <col min="21" max="23" width="6.6640625" customWidth="1"/>
    <col min="24" max="24" width="11.6640625" style="23" bestFit="1" customWidth="1"/>
    <col min="25" max="27" width="6.6640625" customWidth="1"/>
    <col min="28" max="28" width="11.6640625" style="23" bestFit="1" customWidth="1"/>
  </cols>
  <sheetData>
    <row r="1" spans="1:30" x14ac:dyDescent="0.2">
      <c r="A1" s="2" t="s">
        <v>57</v>
      </c>
      <c r="B1" s="2"/>
      <c r="C1" s="2"/>
      <c r="D1" s="2"/>
      <c r="E1" s="2" t="s">
        <v>3</v>
      </c>
      <c r="F1" s="2"/>
      <c r="G1" s="2"/>
      <c r="H1" s="2"/>
      <c r="I1" s="2" t="s">
        <v>59</v>
      </c>
      <c r="J1" s="2"/>
      <c r="K1" s="2"/>
      <c r="L1" s="2"/>
      <c r="M1" s="2" t="s">
        <v>60</v>
      </c>
      <c r="N1" s="2"/>
      <c r="O1" s="2"/>
      <c r="P1" s="2"/>
      <c r="Q1" s="2" t="s">
        <v>61</v>
      </c>
      <c r="R1" s="2"/>
      <c r="S1" s="2"/>
      <c r="T1" s="2"/>
      <c r="U1" s="2" t="s">
        <v>62</v>
      </c>
      <c r="V1" s="2"/>
      <c r="W1" s="2"/>
      <c r="X1" s="2"/>
      <c r="Y1" s="2" t="s">
        <v>63</v>
      </c>
      <c r="Z1" s="2"/>
      <c r="AA1" s="2"/>
      <c r="AB1" s="2"/>
    </row>
    <row r="2" spans="1:30" x14ac:dyDescent="0.2">
      <c r="A2" t="s">
        <v>58</v>
      </c>
      <c r="B2" t="s">
        <v>49</v>
      </c>
      <c r="C2" t="s">
        <v>53</v>
      </c>
      <c r="D2" t="s">
        <v>67</v>
      </c>
      <c r="E2" t="s">
        <v>0</v>
      </c>
      <c r="F2" t="s">
        <v>1</v>
      </c>
      <c r="G2" t="s">
        <v>2</v>
      </c>
      <c r="H2" s="23" t="s">
        <v>10</v>
      </c>
      <c r="I2" t="s">
        <v>0</v>
      </c>
      <c r="J2" t="s">
        <v>1</v>
      </c>
      <c r="K2" t="s">
        <v>2</v>
      </c>
      <c r="L2" s="23" t="s">
        <v>10</v>
      </c>
      <c r="M2" t="s">
        <v>0</v>
      </c>
      <c r="N2" t="s">
        <v>1</v>
      </c>
      <c r="O2" t="s">
        <v>2</v>
      </c>
      <c r="P2" s="23" t="s">
        <v>10</v>
      </c>
      <c r="Q2" t="s">
        <v>0</v>
      </c>
      <c r="R2" t="s">
        <v>1</v>
      </c>
      <c r="S2" t="s">
        <v>2</v>
      </c>
      <c r="T2" s="23" t="s">
        <v>10</v>
      </c>
      <c r="U2" t="s">
        <v>0</v>
      </c>
      <c r="V2" t="s">
        <v>1</v>
      </c>
      <c r="W2" t="s">
        <v>2</v>
      </c>
      <c r="X2" s="23" t="s">
        <v>10</v>
      </c>
      <c r="Y2" t="s">
        <v>0</v>
      </c>
      <c r="Z2" t="s">
        <v>1</v>
      </c>
      <c r="AA2" t="s">
        <v>2</v>
      </c>
      <c r="AB2" s="23" t="s">
        <v>10</v>
      </c>
    </row>
    <row r="3" spans="1:30" x14ac:dyDescent="0.2">
      <c r="A3" t="s">
        <v>65</v>
      </c>
      <c r="B3">
        <v>24.07</v>
      </c>
      <c r="C3" t="s">
        <v>54</v>
      </c>
      <c r="E3">
        <v>372</v>
      </c>
      <c r="F3">
        <v>227</v>
      </c>
      <c r="G3">
        <v>61</v>
      </c>
      <c r="H3" s="58">
        <f t="shared" ref="H3:H6" si="0">$B3*1024/E3</f>
        <v>66.257204301075276</v>
      </c>
      <c r="I3">
        <v>421</v>
      </c>
      <c r="J3">
        <v>289</v>
      </c>
      <c r="K3">
        <v>73</v>
      </c>
      <c r="L3" s="58">
        <f t="shared" ref="L3:L6" si="1">$B3*1024/I3</f>
        <v>58.545558194774344</v>
      </c>
      <c r="M3">
        <v>558</v>
      </c>
      <c r="N3">
        <v>348</v>
      </c>
      <c r="O3">
        <v>36</v>
      </c>
      <c r="P3" s="58">
        <f t="shared" ref="P3:P6" si="2">$B3*1024/M3</f>
        <v>44.171469534050182</v>
      </c>
      <c r="Q3">
        <v>373</v>
      </c>
      <c r="R3">
        <v>287</v>
      </c>
      <c r="S3">
        <v>30</v>
      </c>
      <c r="T3" s="58">
        <f t="shared" ref="T3:T6" si="3">$B3*1024/Q3</f>
        <v>66.079571045576415</v>
      </c>
      <c r="U3">
        <v>443</v>
      </c>
      <c r="V3">
        <v>219</v>
      </c>
      <c r="W3">
        <v>35</v>
      </c>
      <c r="X3" s="58">
        <f t="shared" ref="X3:X6" si="4">$B3*1024/U3</f>
        <v>55.638103837471782</v>
      </c>
      <c r="Y3">
        <v>428</v>
      </c>
      <c r="Z3">
        <v>202</v>
      </c>
      <c r="AA3">
        <v>45</v>
      </c>
      <c r="AB3" s="58">
        <f t="shared" ref="AB3:AB6" si="5">$B3*1024/Y3</f>
        <v>57.588037383177571</v>
      </c>
    </row>
    <row r="4" spans="1:30" x14ac:dyDescent="0.2">
      <c r="A4" t="s">
        <v>65</v>
      </c>
      <c r="B4">
        <v>24.07</v>
      </c>
      <c r="C4" t="s">
        <v>54</v>
      </c>
      <c r="E4">
        <v>411</v>
      </c>
      <c r="F4">
        <v>295</v>
      </c>
      <c r="G4">
        <v>74</v>
      </c>
      <c r="H4" s="58">
        <f t="shared" si="0"/>
        <v>59.970024330900245</v>
      </c>
      <c r="I4">
        <v>503</v>
      </c>
      <c r="J4">
        <v>349</v>
      </c>
      <c r="K4">
        <v>89</v>
      </c>
      <c r="L4" s="58">
        <f t="shared" si="1"/>
        <v>49.00135188866799</v>
      </c>
      <c r="M4">
        <v>338</v>
      </c>
      <c r="N4">
        <v>246</v>
      </c>
      <c r="O4">
        <v>27</v>
      </c>
      <c r="P4" s="58">
        <f t="shared" si="2"/>
        <v>72.922130177514788</v>
      </c>
      <c r="Q4">
        <v>303</v>
      </c>
      <c r="R4">
        <v>203</v>
      </c>
      <c r="S4">
        <v>26</v>
      </c>
      <c r="T4" s="58">
        <f t="shared" si="3"/>
        <v>81.345478547854782</v>
      </c>
      <c r="U4">
        <v>444</v>
      </c>
      <c r="V4">
        <v>216</v>
      </c>
      <c r="W4">
        <v>32</v>
      </c>
      <c r="X4" s="58">
        <f t="shared" si="4"/>
        <v>55.512792792792794</v>
      </c>
      <c r="Y4">
        <v>446</v>
      </c>
      <c r="Z4">
        <v>216</v>
      </c>
      <c r="AA4">
        <v>47</v>
      </c>
      <c r="AB4" s="58">
        <f t="shared" si="5"/>
        <v>55.263856502242156</v>
      </c>
    </row>
    <row r="5" spans="1:30" x14ac:dyDescent="0.2">
      <c r="A5" t="s">
        <v>65</v>
      </c>
      <c r="B5">
        <v>24.07</v>
      </c>
      <c r="C5" t="s">
        <v>54</v>
      </c>
      <c r="E5">
        <v>344</v>
      </c>
      <c r="F5">
        <v>236</v>
      </c>
      <c r="G5">
        <v>61</v>
      </c>
      <c r="H5" s="58">
        <f t="shared" si="0"/>
        <v>71.650232558139535</v>
      </c>
      <c r="I5">
        <v>443</v>
      </c>
      <c r="J5">
        <v>310</v>
      </c>
      <c r="K5">
        <v>81</v>
      </c>
      <c r="L5" s="58">
        <f t="shared" si="1"/>
        <v>55.638103837471782</v>
      </c>
      <c r="M5">
        <v>425</v>
      </c>
      <c r="N5">
        <v>298</v>
      </c>
      <c r="O5">
        <v>31</v>
      </c>
      <c r="P5" s="58">
        <f t="shared" si="2"/>
        <v>57.994541176470591</v>
      </c>
      <c r="Q5">
        <v>442</v>
      </c>
      <c r="R5">
        <v>292</v>
      </c>
      <c r="S5">
        <v>31</v>
      </c>
      <c r="T5" s="58">
        <f t="shared" si="3"/>
        <v>55.763981900452492</v>
      </c>
      <c r="U5">
        <v>446</v>
      </c>
      <c r="V5">
        <v>223</v>
      </c>
      <c r="W5">
        <v>35</v>
      </c>
      <c r="X5" s="58">
        <f t="shared" si="4"/>
        <v>55.263856502242156</v>
      </c>
      <c r="Y5">
        <v>458</v>
      </c>
      <c r="Z5">
        <v>223</v>
      </c>
      <c r="AA5">
        <v>45</v>
      </c>
      <c r="AB5" s="58">
        <f t="shared" si="5"/>
        <v>53.815895196506553</v>
      </c>
    </row>
    <row r="6" spans="1:30" s="4" customFormat="1" x14ac:dyDescent="0.2">
      <c r="A6" s="4" t="s">
        <v>52</v>
      </c>
      <c r="B6" s="4">
        <v>24.07</v>
      </c>
      <c r="C6" s="4" t="s">
        <v>54</v>
      </c>
      <c r="E6" s="54">
        <f>AVERAGE(E3:E5)</f>
        <v>375.66666666666669</v>
      </c>
      <c r="F6" s="55">
        <f t="shared" ref="F6:O6" si="6">AVERAGE(F3:F5)</f>
        <v>252.66666666666666</v>
      </c>
      <c r="G6" s="54">
        <f t="shared" si="6"/>
        <v>65.333333333333329</v>
      </c>
      <c r="H6" s="60">
        <f t="shared" si="0"/>
        <v>65.610505767524401</v>
      </c>
      <c r="I6" s="54">
        <f t="shared" si="6"/>
        <v>455.66666666666669</v>
      </c>
      <c r="J6" s="54">
        <f t="shared" si="6"/>
        <v>316</v>
      </c>
      <c r="K6" s="55">
        <f t="shared" si="6"/>
        <v>81</v>
      </c>
      <c r="L6" s="61">
        <f t="shared" si="1"/>
        <v>54.091470373079737</v>
      </c>
      <c r="M6" s="54">
        <f t="shared" si="6"/>
        <v>440.33333333333331</v>
      </c>
      <c r="N6" s="55">
        <f t="shared" si="6"/>
        <v>297.33333333333331</v>
      </c>
      <c r="O6" s="55">
        <f t="shared" si="6"/>
        <v>31.333333333333332</v>
      </c>
      <c r="P6" s="61">
        <f t="shared" si="2"/>
        <v>55.97504920514762</v>
      </c>
      <c r="Q6" s="54">
        <f t="shared" ref="Q6" si="7">AVERAGE(Q3:Q5)</f>
        <v>372.66666666666669</v>
      </c>
      <c r="R6" s="55">
        <f t="shared" ref="R6" si="8">AVERAGE(R3:R5)</f>
        <v>260.66666666666669</v>
      </c>
      <c r="S6" s="55">
        <f t="shared" ref="S6" si="9">AVERAGE(S3:S5)</f>
        <v>29</v>
      </c>
      <c r="T6" s="60">
        <f t="shared" si="3"/>
        <v>66.138676207513413</v>
      </c>
      <c r="U6" s="54">
        <f t="shared" ref="U6" si="10">AVERAGE(U3:U5)</f>
        <v>444.33333333333331</v>
      </c>
      <c r="V6" s="55">
        <f t="shared" ref="V6" si="11">AVERAGE(V3:V5)</f>
        <v>219.33333333333334</v>
      </c>
      <c r="W6" s="55">
        <f t="shared" ref="W6" si="12">AVERAGE(W3:W5)</f>
        <v>34</v>
      </c>
      <c r="X6" s="61">
        <f t="shared" si="4"/>
        <v>55.471147786946737</v>
      </c>
      <c r="Y6" s="54">
        <f t="shared" ref="Y6" si="13">AVERAGE(Y3:Y5)</f>
        <v>444</v>
      </c>
      <c r="Z6" s="55">
        <f t="shared" ref="Z6" si="14">AVERAGE(Z3:Z5)</f>
        <v>213.66666666666666</v>
      </c>
      <c r="AA6" s="55">
        <f t="shared" ref="AA6" si="15">AVERAGE(AA3:AA5)</f>
        <v>45.666666666666664</v>
      </c>
      <c r="AB6" s="61">
        <f t="shared" si="5"/>
        <v>55.512792792792794</v>
      </c>
    </row>
    <row r="8" spans="1:30" x14ac:dyDescent="0.2">
      <c r="A8" t="s">
        <v>56</v>
      </c>
      <c r="B8">
        <v>9.41</v>
      </c>
      <c r="C8" t="s">
        <v>55</v>
      </c>
      <c r="E8">
        <v>135</v>
      </c>
      <c r="F8">
        <v>102</v>
      </c>
      <c r="G8">
        <v>28</v>
      </c>
      <c r="H8" s="58">
        <f t="shared" ref="H8:H11" si="16">$B8*1024/E8</f>
        <v>71.376592592592587</v>
      </c>
      <c r="I8">
        <v>162</v>
      </c>
      <c r="J8">
        <v>125</v>
      </c>
      <c r="K8">
        <v>32</v>
      </c>
      <c r="L8" s="58">
        <f t="shared" ref="L8:L11" si="17">$B8*1024/I8</f>
        <v>59.480493827160494</v>
      </c>
      <c r="M8">
        <v>145</v>
      </c>
      <c r="N8">
        <v>129</v>
      </c>
      <c r="O8">
        <v>10</v>
      </c>
      <c r="P8" s="58">
        <f t="shared" ref="P8:P11" si="18">$B8*1024/M8</f>
        <v>66.454068965517237</v>
      </c>
      <c r="Q8">
        <v>156</v>
      </c>
      <c r="R8">
        <v>119</v>
      </c>
      <c r="S8">
        <v>10</v>
      </c>
      <c r="T8" s="58">
        <f t="shared" ref="T8:T11" si="19">$B8*1024/Q8</f>
        <v>61.768205128205132</v>
      </c>
      <c r="U8">
        <v>143</v>
      </c>
      <c r="V8">
        <v>124</v>
      </c>
      <c r="W8">
        <v>11</v>
      </c>
      <c r="X8" s="58">
        <f t="shared" ref="X8:X11" si="20">$B8*1024/U8</f>
        <v>67.383496503496502</v>
      </c>
      <c r="Y8">
        <v>145</v>
      </c>
      <c r="Z8">
        <v>112</v>
      </c>
      <c r="AA8">
        <v>11</v>
      </c>
      <c r="AB8" s="58">
        <f t="shared" ref="AB8:AB11" si="21">$B8*1024/Y8</f>
        <v>66.454068965517237</v>
      </c>
    </row>
    <row r="9" spans="1:30" x14ac:dyDescent="0.2">
      <c r="A9" t="s">
        <v>56</v>
      </c>
      <c r="B9">
        <v>9.41</v>
      </c>
      <c r="C9" t="s">
        <v>55</v>
      </c>
      <c r="E9">
        <v>160</v>
      </c>
      <c r="F9">
        <v>124</v>
      </c>
      <c r="G9">
        <v>30</v>
      </c>
      <c r="H9" s="58">
        <f t="shared" si="16"/>
        <v>60.224000000000004</v>
      </c>
      <c r="I9">
        <v>122</v>
      </c>
      <c r="J9">
        <v>97</v>
      </c>
      <c r="K9">
        <v>23</v>
      </c>
      <c r="L9" s="58">
        <f t="shared" si="17"/>
        <v>78.982295081967209</v>
      </c>
      <c r="M9">
        <v>103</v>
      </c>
      <c r="N9">
        <v>88</v>
      </c>
      <c r="O9">
        <v>7</v>
      </c>
      <c r="P9" s="58">
        <f t="shared" si="18"/>
        <v>93.551844660194178</v>
      </c>
      <c r="Q9">
        <v>97</v>
      </c>
      <c r="R9">
        <v>88</v>
      </c>
      <c r="S9">
        <v>7</v>
      </c>
      <c r="T9" s="58">
        <f t="shared" si="19"/>
        <v>99.338556701030925</v>
      </c>
      <c r="U9">
        <v>101</v>
      </c>
      <c r="V9">
        <v>89</v>
      </c>
      <c r="W9">
        <v>9</v>
      </c>
      <c r="X9" s="58">
        <f t="shared" si="20"/>
        <v>95.404356435643564</v>
      </c>
      <c r="Y9">
        <v>128</v>
      </c>
      <c r="Z9">
        <v>115</v>
      </c>
      <c r="AA9">
        <v>11</v>
      </c>
      <c r="AB9" s="58">
        <f t="shared" si="21"/>
        <v>75.28</v>
      </c>
    </row>
    <row r="10" spans="1:30" x14ac:dyDescent="0.2">
      <c r="A10" t="s">
        <v>56</v>
      </c>
      <c r="B10">
        <v>9.41</v>
      </c>
      <c r="C10" t="s">
        <v>55</v>
      </c>
      <c r="E10">
        <v>182</v>
      </c>
      <c r="F10">
        <v>143</v>
      </c>
      <c r="G10">
        <v>35</v>
      </c>
      <c r="H10" s="58">
        <f t="shared" si="16"/>
        <v>52.944175824175822</v>
      </c>
      <c r="I10">
        <v>171</v>
      </c>
      <c r="J10">
        <v>134</v>
      </c>
      <c r="K10">
        <v>32</v>
      </c>
      <c r="L10" s="58">
        <f t="shared" si="17"/>
        <v>56.349941520467837</v>
      </c>
      <c r="M10">
        <v>135</v>
      </c>
      <c r="N10">
        <v>117</v>
      </c>
      <c r="O10">
        <v>10</v>
      </c>
      <c r="P10" s="58">
        <f t="shared" si="18"/>
        <v>71.376592592592587</v>
      </c>
      <c r="Q10">
        <v>139</v>
      </c>
      <c r="R10">
        <v>126</v>
      </c>
      <c r="S10">
        <v>10</v>
      </c>
      <c r="T10" s="58">
        <f t="shared" si="19"/>
        <v>69.322589928057553</v>
      </c>
      <c r="U10">
        <v>107</v>
      </c>
      <c r="V10">
        <v>93</v>
      </c>
      <c r="W10">
        <v>10</v>
      </c>
      <c r="X10" s="58">
        <f t="shared" si="20"/>
        <v>90.054579439252336</v>
      </c>
      <c r="Y10">
        <v>81</v>
      </c>
      <c r="Z10">
        <v>70</v>
      </c>
      <c r="AA10">
        <v>9</v>
      </c>
      <c r="AB10" s="58">
        <f t="shared" si="21"/>
        <v>118.96098765432099</v>
      </c>
    </row>
    <row r="11" spans="1:30" x14ac:dyDescent="0.2">
      <c r="B11" s="4">
        <v>9.41</v>
      </c>
      <c r="C11" s="4" t="s">
        <v>64</v>
      </c>
      <c r="E11" s="50">
        <f>AVERAGE(E8:E10)</f>
        <v>159</v>
      </c>
      <c r="F11" s="50">
        <f t="shared" ref="F11:P11" si="22">AVERAGE(F8:F10)</f>
        <v>123</v>
      </c>
      <c r="G11" s="50">
        <f t="shared" si="22"/>
        <v>31</v>
      </c>
      <c r="H11" s="61">
        <f t="shared" si="16"/>
        <v>60.602767295597488</v>
      </c>
      <c r="I11" s="50">
        <f t="shared" si="22"/>
        <v>151.66666666666666</v>
      </c>
      <c r="J11" s="50">
        <f t="shared" si="22"/>
        <v>118.66666666666667</v>
      </c>
      <c r="K11" s="50">
        <f t="shared" si="22"/>
        <v>29</v>
      </c>
      <c r="L11" s="61">
        <f t="shared" si="17"/>
        <v>63.533010989010997</v>
      </c>
      <c r="M11" s="50">
        <f t="shared" si="22"/>
        <v>127.66666666666667</v>
      </c>
      <c r="N11" s="50">
        <f t="shared" si="22"/>
        <v>111.33333333333333</v>
      </c>
      <c r="O11" s="50">
        <f t="shared" si="22"/>
        <v>9</v>
      </c>
      <c r="P11" s="57">
        <f t="shared" si="18"/>
        <v>75.476553524804174</v>
      </c>
      <c r="Q11" s="50">
        <f t="shared" ref="Q11" si="23">AVERAGE(Q8:Q10)</f>
        <v>130.66666666666666</v>
      </c>
      <c r="R11" s="50">
        <f t="shared" ref="R11" si="24">AVERAGE(R8:R10)</f>
        <v>111</v>
      </c>
      <c r="S11" s="50">
        <f t="shared" ref="S11" si="25">AVERAGE(S8:S10)</f>
        <v>9</v>
      </c>
      <c r="T11" s="57">
        <f t="shared" si="19"/>
        <v>73.743673469387758</v>
      </c>
      <c r="U11" s="50">
        <f t="shared" ref="U11" si="26">AVERAGE(U8:U10)</f>
        <v>117</v>
      </c>
      <c r="V11" s="50">
        <f t="shared" ref="V11" si="27">AVERAGE(V8:V10)</f>
        <v>102</v>
      </c>
      <c r="W11" s="50">
        <f t="shared" ref="W11" si="28">AVERAGE(W8:W10)</f>
        <v>10</v>
      </c>
      <c r="X11" s="60">
        <f t="shared" si="20"/>
        <v>82.357606837606838</v>
      </c>
      <c r="Y11" s="50">
        <f t="shared" ref="Y11" si="29">AVERAGE(Y8:Y10)</f>
        <v>118</v>
      </c>
      <c r="Z11" s="50">
        <f t="shared" ref="Z11" si="30">AVERAGE(Z8:Z10)</f>
        <v>99</v>
      </c>
      <c r="AA11" s="50">
        <f t="shared" ref="AA11" si="31">AVERAGE(AA8:AA10)</f>
        <v>10.333333333333334</v>
      </c>
      <c r="AB11" s="60">
        <f t="shared" si="21"/>
        <v>81.659661016949158</v>
      </c>
    </row>
    <row r="13" spans="1:30" x14ac:dyDescent="0.2">
      <c r="A13" t="s">
        <v>56</v>
      </c>
      <c r="B13">
        <v>9.41</v>
      </c>
      <c r="C13" t="s">
        <v>54</v>
      </c>
      <c r="E13">
        <v>117</v>
      </c>
      <c r="F13">
        <v>82</v>
      </c>
      <c r="G13">
        <v>19</v>
      </c>
      <c r="H13" s="58">
        <f t="shared" ref="H13:H16" si="32">$B13*1024/E13</f>
        <v>82.357606837606838</v>
      </c>
      <c r="I13">
        <v>120</v>
      </c>
      <c r="J13">
        <v>79</v>
      </c>
      <c r="K13">
        <v>21</v>
      </c>
      <c r="L13" s="58">
        <f t="shared" ref="L13:L16" si="33">$B13*1024/I13</f>
        <v>80.298666666666662</v>
      </c>
      <c r="M13">
        <v>101</v>
      </c>
      <c r="N13">
        <v>76</v>
      </c>
      <c r="O13">
        <v>7</v>
      </c>
      <c r="P13" s="58">
        <f>$B13*1024/M13</f>
        <v>95.404356435643564</v>
      </c>
      <c r="Q13">
        <v>91</v>
      </c>
      <c r="R13">
        <v>73</v>
      </c>
      <c r="S13">
        <v>7</v>
      </c>
      <c r="T13" s="58">
        <f t="shared" ref="T13:T16" si="34">$B13*1024/Q13</f>
        <v>105.88835164835164</v>
      </c>
      <c r="U13">
        <v>127</v>
      </c>
      <c r="V13">
        <v>73</v>
      </c>
      <c r="W13">
        <v>11</v>
      </c>
      <c r="X13" s="58">
        <f t="shared" ref="X13:X16" si="35">$B13*1024/U13</f>
        <v>75.872755905511809</v>
      </c>
      <c r="Y13">
        <v>153</v>
      </c>
      <c r="Z13">
        <v>80</v>
      </c>
      <c r="AA13">
        <v>13</v>
      </c>
      <c r="AB13" s="58">
        <f t="shared" ref="AB13:AB16" si="36">$B13*1024/Y13</f>
        <v>62.97934640522876</v>
      </c>
    </row>
    <row r="14" spans="1:30" x14ac:dyDescent="0.2">
      <c r="A14" t="s">
        <v>56</v>
      </c>
      <c r="B14">
        <v>9.41</v>
      </c>
      <c r="C14" t="s">
        <v>54</v>
      </c>
      <c r="E14">
        <v>121</v>
      </c>
      <c r="F14">
        <v>86</v>
      </c>
      <c r="G14">
        <v>21</v>
      </c>
      <c r="H14" s="58">
        <f t="shared" si="32"/>
        <v>79.635041322314052</v>
      </c>
      <c r="I14">
        <v>114</v>
      </c>
      <c r="J14">
        <v>82</v>
      </c>
      <c r="K14">
        <v>20</v>
      </c>
      <c r="L14" s="58">
        <f t="shared" si="33"/>
        <v>84.524912280701756</v>
      </c>
      <c r="M14">
        <v>101</v>
      </c>
      <c r="N14">
        <v>78</v>
      </c>
      <c r="O14">
        <v>7</v>
      </c>
      <c r="P14" s="58">
        <f t="shared" ref="P14:P15" si="37">B14*1024/M14</f>
        <v>95.404356435643564</v>
      </c>
      <c r="Q14">
        <v>94</v>
      </c>
      <c r="R14">
        <v>82</v>
      </c>
      <c r="S14">
        <v>8</v>
      </c>
      <c r="T14" s="58">
        <f t="shared" si="34"/>
        <v>102.50893617021276</v>
      </c>
      <c r="U14">
        <v>136</v>
      </c>
      <c r="V14">
        <v>83</v>
      </c>
      <c r="W14">
        <v>11</v>
      </c>
      <c r="X14" s="58">
        <f t="shared" si="35"/>
        <v>70.85176470588236</v>
      </c>
      <c r="Y14">
        <v>152</v>
      </c>
      <c r="Z14">
        <v>80</v>
      </c>
      <c r="AA14">
        <v>14</v>
      </c>
      <c r="AB14" s="58">
        <f t="shared" si="36"/>
        <v>63.393684210526317</v>
      </c>
    </row>
    <row r="15" spans="1:30" x14ac:dyDescent="0.2">
      <c r="A15" t="s">
        <v>56</v>
      </c>
      <c r="B15">
        <v>9.41</v>
      </c>
      <c r="C15" t="s">
        <v>54</v>
      </c>
      <c r="E15">
        <v>117</v>
      </c>
      <c r="F15">
        <v>85</v>
      </c>
      <c r="G15">
        <v>21</v>
      </c>
      <c r="H15" s="58">
        <f t="shared" si="32"/>
        <v>82.357606837606838</v>
      </c>
      <c r="I15">
        <v>110</v>
      </c>
      <c r="J15">
        <v>81</v>
      </c>
      <c r="K15">
        <v>20</v>
      </c>
      <c r="L15" s="58">
        <f t="shared" si="33"/>
        <v>87.598545454545459</v>
      </c>
      <c r="M15">
        <v>95</v>
      </c>
      <c r="N15">
        <v>74</v>
      </c>
      <c r="O15">
        <v>6</v>
      </c>
      <c r="P15" s="58">
        <f t="shared" si="37"/>
        <v>101.4298947368421</v>
      </c>
      <c r="Q15">
        <v>91</v>
      </c>
      <c r="R15">
        <v>76</v>
      </c>
      <c r="S15">
        <v>7</v>
      </c>
      <c r="T15" s="58">
        <f t="shared" si="34"/>
        <v>105.88835164835164</v>
      </c>
      <c r="U15">
        <v>126</v>
      </c>
      <c r="V15">
        <v>72</v>
      </c>
      <c r="W15">
        <v>9</v>
      </c>
      <c r="X15" s="58">
        <f t="shared" si="35"/>
        <v>76.474920634920636</v>
      </c>
      <c r="Y15">
        <v>151</v>
      </c>
      <c r="Z15">
        <v>79</v>
      </c>
      <c r="AA15">
        <v>14</v>
      </c>
      <c r="AB15" s="58">
        <f t="shared" si="36"/>
        <v>63.813509933774839</v>
      </c>
      <c r="AC15" t="s">
        <v>68</v>
      </c>
      <c r="AD15" t="s">
        <v>69</v>
      </c>
    </row>
    <row r="16" spans="1:30" x14ac:dyDescent="0.2">
      <c r="B16" s="4">
        <v>9.41</v>
      </c>
      <c r="C16" s="4" t="s">
        <v>54</v>
      </c>
      <c r="E16" s="50">
        <f>AVERAGE(E13:E15)</f>
        <v>118.33333333333333</v>
      </c>
      <c r="F16" s="50">
        <f t="shared" ref="F16:P16" si="38">AVERAGE(F13:F15)</f>
        <v>84.333333333333329</v>
      </c>
      <c r="G16" s="50">
        <f t="shared" si="38"/>
        <v>20.333333333333332</v>
      </c>
      <c r="H16" s="57">
        <f t="shared" si="32"/>
        <v>81.429633802816909</v>
      </c>
      <c r="I16" s="50">
        <f t="shared" si="38"/>
        <v>114.66666666666667</v>
      </c>
      <c r="J16" s="50">
        <f t="shared" si="38"/>
        <v>80.666666666666671</v>
      </c>
      <c r="K16" s="50">
        <f t="shared" si="38"/>
        <v>20.333333333333332</v>
      </c>
      <c r="L16" s="57">
        <f t="shared" si="33"/>
        <v>84.033488372093018</v>
      </c>
      <c r="M16" s="50">
        <f t="shared" si="38"/>
        <v>99</v>
      </c>
      <c r="N16" s="50">
        <f t="shared" si="38"/>
        <v>76</v>
      </c>
      <c r="O16" s="50">
        <f t="shared" si="38"/>
        <v>6.666666666666667</v>
      </c>
      <c r="P16" s="59">
        <f t="shared" si="38"/>
        <v>97.412869202709729</v>
      </c>
      <c r="Q16" s="50">
        <f t="shared" ref="Q16" si="39">AVERAGE(Q13:Q15)</f>
        <v>92</v>
      </c>
      <c r="R16" s="50">
        <f t="shared" ref="R16" si="40">AVERAGE(R13:R15)</f>
        <v>77</v>
      </c>
      <c r="S16" s="50">
        <f t="shared" ref="S16" si="41">AVERAGE(S13:S15)</f>
        <v>7.333333333333333</v>
      </c>
      <c r="T16" s="60">
        <f t="shared" si="34"/>
        <v>104.73739130434782</v>
      </c>
      <c r="U16" s="50">
        <f t="shared" ref="U16" si="42">AVERAGE(U13:U15)</f>
        <v>129.66666666666666</v>
      </c>
      <c r="V16" s="50">
        <f t="shared" ref="V16" si="43">AVERAGE(V13:V15)</f>
        <v>76</v>
      </c>
      <c r="W16" s="50">
        <f t="shared" ref="W16" si="44">AVERAGE(W13:W15)</f>
        <v>10.333333333333334</v>
      </c>
      <c r="X16" s="57">
        <f t="shared" si="35"/>
        <v>74.31239074550129</v>
      </c>
      <c r="Y16" s="50">
        <f t="shared" ref="Y16" si="45">AVERAGE(Y13:Y15)</f>
        <v>152</v>
      </c>
      <c r="Z16" s="50">
        <f t="shared" ref="Z16" si="46">AVERAGE(Z13:Z15)</f>
        <v>79.666666666666671</v>
      </c>
      <c r="AA16" s="50">
        <f t="shared" ref="AA16" si="47">AVERAGE(AA13:AA15)</f>
        <v>13.666666666666666</v>
      </c>
      <c r="AB16" s="60">
        <f t="shared" si="36"/>
        <v>63.393684210526317</v>
      </c>
    </row>
    <row r="17" spans="1:30" x14ac:dyDescent="0.2">
      <c r="A17" t="s">
        <v>56</v>
      </c>
      <c r="B17">
        <v>9.41</v>
      </c>
      <c r="C17" t="s">
        <v>54</v>
      </c>
      <c r="D17" s="56" t="s">
        <v>66</v>
      </c>
      <c r="H17" s="58"/>
      <c r="I17">
        <v>149</v>
      </c>
      <c r="J17">
        <v>81</v>
      </c>
      <c r="K17">
        <v>33</v>
      </c>
      <c r="L17" s="58">
        <f t="shared" ref="L17:L20" si="48">$B17*1024/I17</f>
        <v>64.670067114093968</v>
      </c>
      <c r="M17">
        <v>135</v>
      </c>
      <c r="N17">
        <v>78</v>
      </c>
      <c r="O17">
        <v>19</v>
      </c>
      <c r="P17" s="58">
        <f>$B17*1024/M17</f>
        <v>71.376592592592587</v>
      </c>
      <c r="Q17">
        <v>136</v>
      </c>
      <c r="R17">
        <v>78</v>
      </c>
      <c r="S17">
        <v>21</v>
      </c>
      <c r="T17" s="58">
        <f t="shared" ref="T17:T20" si="49">$B17*1024/Q17</f>
        <v>70.85176470588236</v>
      </c>
      <c r="U17">
        <v>136</v>
      </c>
      <c r="V17">
        <v>77</v>
      </c>
      <c r="W17">
        <v>21</v>
      </c>
      <c r="X17" s="58">
        <f t="shared" ref="X17:X20" si="50">$B17*1024/U17</f>
        <v>70.85176470588236</v>
      </c>
      <c r="Y17">
        <v>142</v>
      </c>
      <c r="Z17">
        <v>75</v>
      </c>
      <c r="AA17">
        <v>21</v>
      </c>
      <c r="AB17" s="58">
        <f t="shared" ref="AB17:AB20" si="51">$B17*1024/Y17</f>
        <v>67.858028169014091</v>
      </c>
    </row>
    <row r="18" spans="1:30" x14ac:dyDescent="0.2">
      <c r="A18" t="s">
        <v>56</v>
      </c>
      <c r="B18">
        <v>9.41</v>
      </c>
      <c r="C18" t="s">
        <v>54</v>
      </c>
      <c r="D18" s="56" t="s">
        <v>66</v>
      </c>
      <c r="H18" s="58"/>
      <c r="I18">
        <v>141</v>
      </c>
      <c r="J18">
        <v>75</v>
      </c>
      <c r="K18">
        <v>28</v>
      </c>
      <c r="L18" s="58">
        <f t="shared" si="48"/>
        <v>68.339290780141852</v>
      </c>
      <c r="M18">
        <v>131</v>
      </c>
      <c r="N18">
        <v>76</v>
      </c>
      <c r="O18">
        <v>22</v>
      </c>
      <c r="P18" s="58">
        <f t="shared" ref="P18:P19" si="52">B18*1024/M18</f>
        <v>73.556030534351152</v>
      </c>
      <c r="Q18">
        <v>127</v>
      </c>
      <c r="R18">
        <v>73</v>
      </c>
      <c r="S18">
        <v>17</v>
      </c>
      <c r="T18" s="58">
        <f t="shared" si="49"/>
        <v>75.872755905511809</v>
      </c>
      <c r="U18">
        <v>129</v>
      </c>
      <c r="V18">
        <v>73</v>
      </c>
      <c r="W18">
        <v>18</v>
      </c>
      <c r="X18" s="58">
        <f t="shared" si="50"/>
        <v>74.696434108527129</v>
      </c>
      <c r="Y18">
        <v>145</v>
      </c>
      <c r="Z18">
        <v>77</v>
      </c>
      <c r="AA18">
        <v>19</v>
      </c>
      <c r="AB18" s="58">
        <f t="shared" si="51"/>
        <v>66.454068965517237</v>
      </c>
    </row>
    <row r="19" spans="1:30" x14ac:dyDescent="0.2">
      <c r="A19" t="s">
        <v>56</v>
      </c>
      <c r="B19">
        <v>9.41</v>
      </c>
      <c r="C19" t="s">
        <v>54</v>
      </c>
      <c r="D19" s="56" t="s">
        <v>66</v>
      </c>
      <c r="H19" s="58"/>
      <c r="I19">
        <v>147</v>
      </c>
      <c r="J19">
        <v>79</v>
      </c>
      <c r="K19">
        <v>33</v>
      </c>
      <c r="L19" s="58">
        <f t="shared" si="48"/>
        <v>65.549931972789111</v>
      </c>
      <c r="M19">
        <v>127</v>
      </c>
      <c r="N19">
        <v>73</v>
      </c>
      <c r="O19">
        <v>20</v>
      </c>
      <c r="P19" s="58">
        <f t="shared" si="52"/>
        <v>75.872755905511809</v>
      </c>
      <c r="Q19">
        <v>131</v>
      </c>
      <c r="R19">
        <v>65</v>
      </c>
      <c r="S19">
        <v>21</v>
      </c>
      <c r="T19" s="58">
        <f t="shared" si="49"/>
        <v>73.556030534351152</v>
      </c>
      <c r="U19">
        <v>132</v>
      </c>
      <c r="V19">
        <v>75</v>
      </c>
      <c r="W19">
        <v>22</v>
      </c>
      <c r="X19" s="58">
        <f t="shared" si="50"/>
        <v>72.99878787878788</v>
      </c>
      <c r="Y19">
        <v>144</v>
      </c>
      <c r="Z19">
        <v>75</v>
      </c>
      <c r="AA19">
        <v>22</v>
      </c>
      <c r="AB19" s="58">
        <f t="shared" si="51"/>
        <v>66.915555555555557</v>
      </c>
      <c r="AC19">
        <v>96</v>
      </c>
      <c r="AD19">
        <v>43</v>
      </c>
    </row>
    <row r="20" spans="1:30" x14ac:dyDescent="0.2">
      <c r="B20" s="4">
        <v>9.41</v>
      </c>
      <c r="C20" s="4" t="s">
        <v>54</v>
      </c>
      <c r="D20" s="56" t="s">
        <v>66</v>
      </c>
      <c r="E20" s="50"/>
      <c r="F20" s="50"/>
      <c r="G20" s="50"/>
      <c r="H20" s="58"/>
      <c r="I20" s="50">
        <f t="shared" ref="I20" si="53">AVERAGE(I17:I19)</f>
        <v>145.66666666666666</v>
      </c>
      <c r="J20" s="50">
        <f t="shared" ref="J20" si="54">AVERAGE(J17:J19)</f>
        <v>78.333333333333329</v>
      </c>
      <c r="K20" s="50">
        <f t="shared" ref="K20" si="55">AVERAGE(K17:K19)</f>
        <v>31.333333333333332</v>
      </c>
      <c r="L20" s="61">
        <f t="shared" si="48"/>
        <v>66.149931350114429</v>
      </c>
      <c r="M20" s="50">
        <f t="shared" ref="M20" si="56">AVERAGE(M17:M19)</f>
        <v>131</v>
      </c>
      <c r="N20" s="50">
        <f t="shared" ref="N20" si="57">AVERAGE(N17:N19)</f>
        <v>75.666666666666671</v>
      </c>
      <c r="O20" s="50">
        <f t="shared" ref="O20" si="58">AVERAGE(O17:O19)</f>
        <v>20.333333333333332</v>
      </c>
      <c r="P20" s="59">
        <f t="shared" ref="P20" si="59">AVERAGE(P17:P19)</f>
        <v>73.601793010818511</v>
      </c>
      <c r="Q20" s="50">
        <f t="shared" ref="Q20" si="60">AVERAGE(Q17:Q19)</f>
        <v>131.33333333333334</v>
      </c>
      <c r="R20" s="50">
        <f t="shared" ref="R20" si="61">AVERAGE(R17:R19)</f>
        <v>72</v>
      </c>
      <c r="S20" s="50">
        <f t="shared" ref="S20" si="62">AVERAGE(S17:S19)</f>
        <v>19.666666666666668</v>
      </c>
      <c r="T20" s="43">
        <f t="shared" si="49"/>
        <v>73.369340101522837</v>
      </c>
      <c r="U20" s="50">
        <f t="shared" ref="U20" si="63">AVERAGE(U17:U19)</f>
        <v>132.33333333333334</v>
      </c>
      <c r="V20" s="50">
        <f t="shared" ref="V20" si="64">AVERAGE(V17:V19)</f>
        <v>75</v>
      </c>
      <c r="W20" s="50">
        <f t="shared" ref="W20" si="65">AVERAGE(W17:W19)</f>
        <v>20.333333333333332</v>
      </c>
      <c r="X20" s="60">
        <f t="shared" si="50"/>
        <v>72.814911838790934</v>
      </c>
      <c r="Y20" s="50">
        <f t="shared" ref="Y20" si="66">AVERAGE(Y17:Y19)</f>
        <v>143.66666666666666</v>
      </c>
      <c r="Z20" s="50">
        <f t="shared" ref="Z20" si="67">AVERAGE(Z17:Z19)</f>
        <v>75.666666666666671</v>
      </c>
      <c r="AA20" s="50">
        <f t="shared" ref="AA20" si="68">AVERAGE(AA17:AA19)</f>
        <v>20.666666666666668</v>
      </c>
      <c r="AB20" s="61">
        <f t="shared" si="51"/>
        <v>67.070812064965196</v>
      </c>
    </row>
  </sheetData>
  <mergeCells count="7">
    <mergeCell ref="Y1:AB1"/>
    <mergeCell ref="A1:D1"/>
    <mergeCell ref="E1:H1"/>
    <mergeCell ref="I1:L1"/>
    <mergeCell ref="M1:P1"/>
    <mergeCell ref="Q1:T1"/>
    <mergeCell ref="U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BF60-E99F-8641-9EC8-4050BACBA8B6}">
  <dimension ref="A1:F38"/>
  <sheetViews>
    <sheetView tabSelected="1" zoomScale="112" workbookViewId="0">
      <selection activeCell="H18" sqref="H18"/>
    </sheetView>
  </sheetViews>
  <sheetFormatPr baseColWidth="10" defaultRowHeight="16" x14ac:dyDescent="0.2"/>
  <cols>
    <col min="1" max="1" width="6.1640625" customWidth="1"/>
    <col min="2" max="2" width="16.5" customWidth="1"/>
  </cols>
  <sheetData>
    <row r="1" spans="1:6" ht="17" thickBot="1" x14ac:dyDescent="0.25">
      <c r="A1" s="93" t="s">
        <v>70</v>
      </c>
      <c r="B1" s="94"/>
      <c r="C1" s="94"/>
      <c r="D1" s="94"/>
      <c r="E1" s="94"/>
      <c r="F1" s="95"/>
    </row>
    <row r="2" spans="1:6" x14ac:dyDescent="0.2">
      <c r="A2" s="83"/>
      <c r="B2" s="84" t="s">
        <v>73</v>
      </c>
      <c r="C2" s="84">
        <v>1</v>
      </c>
      <c r="D2" s="84">
        <v>2</v>
      </c>
      <c r="E2" s="84">
        <v>3</v>
      </c>
      <c r="F2" s="85" t="s">
        <v>74</v>
      </c>
    </row>
    <row r="3" spans="1:6" ht="16" customHeight="1" thickBot="1" x14ac:dyDescent="0.25">
      <c r="A3" s="81"/>
      <c r="B3" s="69" t="s">
        <v>71</v>
      </c>
      <c r="C3" s="69">
        <v>9.41</v>
      </c>
      <c r="D3" s="69">
        <v>9.41</v>
      </c>
      <c r="E3" s="69">
        <v>9.41</v>
      </c>
      <c r="F3" s="82">
        <v>9.41</v>
      </c>
    </row>
    <row r="4" spans="1:6" ht="16" customHeight="1" x14ac:dyDescent="0.2">
      <c r="A4" s="62" t="s">
        <v>59</v>
      </c>
      <c r="B4" s="63" t="s">
        <v>0</v>
      </c>
      <c r="C4" s="63">
        <v>149</v>
      </c>
      <c r="D4" s="63">
        <v>141</v>
      </c>
      <c r="E4" s="63">
        <v>147</v>
      </c>
      <c r="F4" s="64">
        <f>AVERAGE(C4:E4)</f>
        <v>145.66666666666666</v>
      </c>
    </row>
    <row r="5" spans="1:6" x14ac:dyDescent="0.2">
      <c r="A5" s="65"/>
      <c r="B5" s="66" t="s">
        <v>1</v>
      </c>
      <c r="C5" s="66">
        <v>81</v>
      </c>
      <c r="D5" s="66">
        <v>75</v>
      </c>
      <c r="E5" s="66">
        <v>79</v>
      </c>
      <c r="F5" s="67">
        <f>AVERAGE(C5:E5)</f>
        <v>78.333333333333329</v>
      </c>
    </row>
    <row r="6" spans="1:6" x14ac:dyDescent="0.2">
      <c r="A6" s="65"/>
      <c r="B6" s="66" t="s">
        <v>2</v>
      </c>
      <c r="C6" s="66">
        <v>33</v>
      </c>
      <c r="D6" s="66">
        <v>28</v>
      </c>
      <c r="E6" s="66">
        <v>33</v>
      </c>
      <c r="F6" s="67">
        <f>AVERAGE(C6:E6)</f>
        <v>31.333333333333332</v>
      </c>
    </row>
    <row r="7" spans="1:6" x14ac:dyDescent="0.2">
      <c r="A7" s="65"/>
      <c r="B7" s="66" t="s">
        <v>68</v>
      </c>
      <c r="C7" s="66">
        <v>104</v>
      </c>
      <c r="D7" s="74">
        <v>96</v>
      </c>
      <c r="E7" s="74">
        <v>101</v>
      </c>
      <c r="F7" s="67">
        <f t="shared" ref="F7:F8" si="0">AVERAGE(C7:E7)</f>
        <v>100.33333333333333</v>
      </c>
    </row>
    <row r="8" spans="1:6" x14ac:dyDescent="0.2">
      <c r="A8" s="65"/>
      <c r="B8" s="66" t="s">
        <v>72</v>
      </c>
      <c r="C8" s="66">
        <v>43</v>
      </c>
      <c r="D8" s="74">
        <v>43</v>
      </c>
      <c r="E8" s="74">
        <v>43</v>
      </c>
      <c r="F8" s="67">
        <f t="shared" si="0"/>
        <v>43</v>
      </c>
    </row>
    <row r="9" spans="1:6" x14ac:dyDescent="0.2">
      <c r="A9" s="65"/>
      <c r="B9" s="90" t="s">
        <v>75</v>
      </c>
      <c r="C9" s="91">
        <f>C$3*1024/C7</f>
        <v>92.652307692307687</v>
      </c>
      <c r="D9" s="91">
        <f t="shared" ref="D9:F9" si="1">D$3*1024/D7</f>
        <v>100.37333333333333</v>
      </c>
      <c r="E9" s="91">
        <f t="shared" si="1"/>
        <v>95.404356435643564</v>
      </c>
      <c r="F9" s="99">
        <f t="shared" si="1"/>
        <v>96.038272425249176</v>
      </c>
    </row>
    <row r="10" spans="1:6" ht="17" thickBot="1" x14ac:dyDescent="0.25">
      <c r="A10" s="68"/>
      <c r="B10" s="69" t="s">
        <v>76</v>
      </c>
      <c r="C10" s="70">
        <f>C$3*1024/C4</f>
        <v>64.670067114093968</v>
      </c>
      <c r="D10" s="70">
        <f>D$3*1024/D4</f>
        <v>68.339290780141852</v>
      </c>
      <c r="E10" s="70">
        <f>E$3*1024/E4</f>
        <v>65.549931972789111</v>
      </c>
      <c r="F10" s="71">
        <f>F$3*1024/F4</f>
        <v>66.149931350114429</v>
      </c>
    </row>
    <row r="11" spans="1:6" x14ac:dyDescent="0.2">
      <c r="A11" s="62" t="s">
        <v>60</v>
      </c>
      <c r="B11" s="63" t="s">
        <v>0</v>
      </c>
      <c r="C11" s="63">
        <v>135</v>
      </c>
      <c r="D11" s="63">
        <v>131</v>
      </c>
      <c r="E11" s="63">
        <v>127</v>
      </c>
      <c r="F11" s="64">
        <f>AVERAGE(C11:E11)</f>
        <v>131</v>
      </c>
    </row>
    <row r="12" spans="1:6" x14ac:dyDescent="0.2">
      <c r="A12" s="65"/>
      <c r="B12" s="66" t="s">
        <v>1</v>
      </c>
      <c r="C12" s="66">
        <v>78</v>
      </c>
      <c r="D12" s="66">
        <v>76</v>
      </c>
      <c r="E12" s="66">
        <v>73</v>
      </c>
      <c r="F12" s="67">
        <f>AVERAGE(C12:E12)</f>
        <v>75.666666666666671</v>
      </c>
    </row>
    <row r="13" spans="1:6" x14ac:dyDescent="0.2">
      <c r="A13" s="65"/>
      <c r="B13" s="66" t="s">
        <v>2</v>
      </c>
      <c r="C13" s="66">
        <v>19</v>
      </c>
      <c r="D13" s="66">
        <v>22</v>
      </c>
      <c r="E13" s="66">
        <v>20</v>
      </c>
      <c r="F13" s="67">
        <f>AVERAGE(C13:E13)</f>
        <v>20.333333333333332</v>
      </c>
    </row>
    <row r="14" spans="1:6" x14ac:dyDescent="0.2">
      <c r="A14" s="65"/>
      <c r="B14" s="66" t="s">
        <v>68</v>
      </c>
      <c r="C14" s="74">
        <v>89</v>
      </c>
      <c r="D14" s="74">
        <v>86</v>
      </c>
      <c r="E14" s="74">
        <v>81</v>
      </c>
      <c r="F14" s="67">
        <f t="shared" ref="F14:F15" si="2">AVERAGE(C14:E14)</f>
        <v>85.333333333333329</v>
      </c>
    </row>
    <row r="15" spans="1:6" x14ac:dyDescent="0.2">
      <c r="A15" s="65"/>
      <c r="B15" s="66" t="s">
        <v>72</v>
      </c>
      <c r="C15" s="74">
        <v>43</v>
      </c>
      <c r="D15" s="74">
        <v>43</v>
      </c>
      <c r="E15" s="74">
        <v>43</v>
      </c>
      <c r="F15" s="67">
        <f t="shared" si="2"/>
        <v>43</v>
      </c>
    </row>
    <row r="16" spans="1:6" x14ac:dyDescent="0.2">
      <c r="A16" s="65"/>
      <c r="B16" s="90" t="s">
        <v>75</v>
      </c>
      <c r="C16" s="91">
        <f>C$3*1024/C14</f>
        <v>108.26786516853933</v>
      </c>
      <c r="D16" s="91">
        <f t="shared" ref="D16:F16" si="3">D$3*1024/D14</f>
        <v>112.0446511627907</v>
      </c>
      <c r="E16" s="91">
        <f t="shared" si="3"/>
        <v>118.96098765432099</v>
      </c>
      <c r="F16" s="98">
        <f t="shared" si="3"/>
        <v>112.92</v>
      </c>
    </row>
    <row r="17" spans="1:6" ht="17" thickBot="1" x14ac:dyDescent="0.25">
      <c r="A17" s="68"/>
      <c r="B17" s="69" t="s">
        <v>76</v>
      </c>
      <c r="C17" s="70">
        <f>C$3*1024/C11</f>
        <v>71.376592592592587</v>
      </c>
      <c r="D17" s="70">
        <f>D3*1024/D11</f>
        <v>73.556030534351152</v>
      </c>
      <c r="E17" s="70">
        <f>E3*1024/E11</f>
        <v>75.872755905511809</v>
      </c>
      <c r="F17" s="72">
        <f>AVERAGE(C17:E17)</f>
        <v>73.601793010818511</v>
      </c>
    </row>
    <row r="18" spans="1:6" x14ac:dyDescent="0.2">
      <c r="A18" s="62" t="s">
        <v>61</v>
      </c>
      <c r="B18" s="63" t="s">
        <v>0</v>
      </c>
      <c r="C18" s="63">
        <v>136</v>
      </c>
      <c r="D18" s="63">
        <v>127</v>
      </c>
      <c r="E18" s="63">
        <v>131</v>
      </c>
      <c r="F18" s="64">
        <f>AVERAGE(C18:E18)</f>
        <v>131.33333333333334</v>
      </c>
    </row>
    <row r="19" spans="1:6" x14ac:dyDescent="0.2">
      <c r="A19" s="65"/>
      <c r="B19" s="66" t="s">
        <v>1</v>
      </c>
      <c r="C19" s="66">
        <v>78</v>
      </c>
      <c r="D19" s="66">
        <v>73</v>
      </c>
      <c r="E19" s="66">
        <v>65</v>
      </c>
      <c r="F19" s="67">
        <f>AVERAGE(C19:E19)</f>
        <v>72</v>
      </c>
    </row>
    <row r="20" spans="1:6" x14ac:dyDescent="0.2">
      <c r="A20" s="65"/>
      <c r="B20" s="66" t="s">
        <v>2</v>
      </c>
      <c r="C20" s="66">
        <v>21</v>
      </c>
      <c r="D20" s="66">
        <v>17</v>
      </c>
      <c r="E20" s="66">
        <v>21</v>
      </c>
      <c r="F20" s="67">
        <f>AVERAGE(C20:E20)</f>
        <v>19.666666666666668</v>
      </c>
    </row>
    <row r="21" spans="1:6" x14ac:dyDescent="0.2">
      <c r="A21" s="65"/>
      <c r="B21" s="66" t="s">
        <v>68</v>
      </c>
      <c r="C21" s="74">
        <v>91</v>
      </c>
      <c r="D21" s="74">
        <v>83</v>
      </c>
      <c r="E21" s="74">
        <v>85</v>
      </c>
      <c r="F21" s="67">
        <f>AVERAGE(C21:E21)</f>
        <v>86.333333333333329</v>
      </c>
    </row>
    <row r="22" spans="1:6" x14ac:dyDescent="0.2">
      <c r="A22" s="65"/>
      <c r="B22" s="66" t="s">
        <v>72</v>
      </c>
      <c r="C22" s="74">
        <v>43</v>
      </c>
      <c r="D22" s="74">
        <v>43</v>
      </c>
      <c r="E22" s="74">
        <v>43</v>
      </c>
      <c r="F22" s="67">
        <f>AVERAGE(C22:E22)</f>
        <v>43</v>
      </c>
    </row>
    <row r="23" spans="1:6" x14ac:dyDescent="0.2">
      <c r="A23" s="65"/>
      <c r="B23" s="90" t="s">
        <v>75</v>
      </c>
      <c r="C23" s="91">
        <f>C$3*1024/C21</f>
        <v>105.88835164835164</v>
      </c>
      <c r="D23" s="91">
        <f t="shared" ref="D23:F23" si="4">D$3*1024/D21</f>
        <v>116.0944578313253</v>
      </c>
      <c r="E23" s="91">
        <f t="shared" si="4"/>
        <v>113.36282352941177</v>
      </c>
      <c r="F23" s="98">
        <f t="shared" si="4"/>
        <v>111.61204633204633</v>
      </c>
    </row>
    <row r="24" spans="1:6" ht="17" thickBot="1" x14ac:dyDescent="0.25">
      <c r="A24" s="68"/>
      <c r="B24" s="69" t="s">
        <v>76</v>
      </c>
      <c r="C24" s="70">
        <f>C$3*1024/C18</f>
        <v>70.85176470588236</v>
      </c>
      <c r="D24" s="70">
        <f>D$3*1024/D18</f>
        <v>75.872755905511809</v>
      </c>
      <c r="E24" s="70">
        <f>E$3*1024/E18</f>
        <v>73.556030534351152</v>
      </c>
      <c r="F24" s="73">
        <f>F$3*1024/F18</f>
        <v>73.369340101522837</v>
      </c>
    </row>
    <row r="25" spans="1:6" x14ac:dyDescent="0.2">
      <c r="A25" s="62" t="s">
        <v>62</v>
      </c>
      <c r="B25" s="63" t="s">
        <v>0</v>
      </c>
      <c r="C25" s="63">
        <v>136</v>
      </c>
      <c r="D25" s="63">
        <v>129</v>
      </c>
      <c r="E25" s="63">
        <v>132</v>
      </c>
      <c r="F25" s="64">
        <f>AVERAGE(C25:E25)</f>
        <v>132.33333333333334</v>
      </c>
    </row>
    <row r="26" spans="1:6" x14ac:dyDescent="0.2">
      <c r="A26" s="65"/>
      <c r="B26" s="66" t="s">
        <v>1</v>
      </c>
      <c r="C26" s="66">
        <v>77</v>
      </c>
      <c r="D26" s="66">
        <v>73</v>
      </c>
      <c r="E26" s="66">
        <v>75</v>
      </c>
      <c r="F26" s="67">
        <f>AVERAGE(C26:E26)</f>
        <v>75</v>
      </c>
    </row>
    <row r="27" spans="1:6" x14ac:dyDescent="0.2">
      <c r="A27" s="65"/>
      <c r="B27" s="66" t="s">
        <v>2</v>
      </c>
      <c r="C27" s="66">
        <v>21</v>
      </c>
      <c r="D27" s="66">
        <v>18</v>
      </c>
      <c r="E27" s="66">
        <v>22</v>
      </c>
      <c r="F27" s="67">
        <f>AVERAGE(C27:E27)</f>
        <v>20.333333333333332</v>
      </c>
    </row>
    <row r="28" spans="1:6" x14ac:dyDescent="0.2">
      <c r="A28" s="65"/>
      <c r="B28" s="66" t="s">
        <v>68</v>
      </c>
      <c r="C28" s="74">
        <v>91</v>
      </c>
      <c r="D28" s="74">
        <v>83</v>
      </c>
      <c r="E28" s="74">
        <v>86</v>
      </c>
      <c r="F28" s="67">
        <f t="shared" ref="F28:F29" si="5">AVERAGE(C28:E28)</f>
        <v>86.666666666666671</v>
      </c>
    </row>
    <row r="29" spans="1:6" x14ac:dyDescent="0.2">
      <c r="A29" s="65"/>
      <c r="B29" s="66" t="s">
        <v>72</v>
      </c>
      <c r="C29" s="74">
        <v>43</v>
      </c>
      <c r="D29" s="74">
        <v>44</v>
      </c>
      <c r="E29" s="74">
        <v>43</v>
      </c>
      <c r="F29" s="67">
        <f t="shared" si="5"/>
        <v>43.333333333333336</v>
      </c>
    </row>
    <row r="30" spans="1:6" x14ac:dyDescent="0.2">
      <c r="A30" s="65"/>
      <c r="B30" s="90" t="s">
        <v>75</v>
      </c>
      <c r="C30" s="91">
        <f>C$3*1024/C28</f>
        <v>105.88835164835164</v>
      </c>
      <c r="D30" s="91">
        <f t="shared" ref="D30:F30" si="6">D$3*1024/D28</f>
        <v>116.0944578313253</v>
      </c>
      <c r="E30" s="91">
        <f t="shared" si="6"/>
        <v>112.0446511627907</v>
      </c>
      <c r="F30" s="98">
        <f t="shared" si="6"/>
        <v>111.18276923076922</v>
      </c>
    </row>
    <row r="31" spans="1:6" ht="17" thickBot="1" x14ac:dyDescent="0.25">
      <c r="A31" s="68"/>
      <c r="B31" s="69" t="s">
        <v>76</v>
      </c>
      <c r="C31" s="70">
        <f>C$3*1024/C25</f>
        <v>70.85176470588236</v>
      </c>
      <c r="D31" s="70">
        <f>D$3*1024/D25</f>
        <v>74.696434108527129</v>
      </c>
      <c r="E31" s="70">
        <f>E$3*1024/E25</f>
        <v>72.99878787878788</v>
      </c>
      <c r="F31" s="73">
        <f>F$3*1024/F25</f>
        <v>72.814911838790934</v>
      </c>
    </row>
    <row r="32" spans="1:6" x14ac:dyDescent="0.2">
      <c r="A32" s="75" t="s">
        <v>63</v>
      </c>
      <c r="B32" s="76" t="s">
        <v>0</v>
      </c>
      <c r="C32" s="86">
        <v>142</v>
      </c>
      <c r="D32" s="86">
        <v>145</v>
      </c>
      <c r="E32" s="86">
        <v>144</v>
      </c>
      <c r="F32" s="87">
        <f>AVERAGE(C32:E32)</f>
        <v>143.66666666666666</v>
      </c>
    </row>
    <row r="33" spans="1:6" x14ac:dyDescent="0.2">
      <c r="A33" s="77"/>
      <c r="B33" s="78" t="s">
        <v>1</v>
      </c>
      <c r="C33" s="88">
        <v>75</v>
      </c>
      <c r="D33" s="88">
        <v>77</v>
      </c>
      <c r="E33" s="88">
        <v>75</v>
      </c>
      <c r="F33" s="89">
        <f>AVERAGE(C33:E33)</f>
        <v>75.666666666666671</v>
      </c>
    </row>
    <row r="34" spans="1:6" x14ac:dyDescent="0.2">
      <c r="A34" s="77"/>
      <c r="B34" s="78" t="s">
        <v>2</v>
      </c>
      <c r="C34" s="88">
        <v>21</v>
      </c>
      <c r="D34" s="88">
        <v>19</v>
      </c>
      <c r="E34" s="88">
        <v>22</v>
      </c>
      <c r="F34" s="89">
        <f>AVERAGE(C34:E34)</f>
        <v>20.666666666666668</v>
      </c>
    </row>
    <row r="35" spans="1:6" x14ac:dyDescent="0.2">
      <c r="A35" s="77"/>
      <c r="B35" s="78" t="s">
        <v>68</v>
      </c>
      <c r="C35" s="88">
        <v>96</v>
      </c>
      <c r="D35" s="88">
        <v>100</v>
      </c>
      <c r="E35" s="88">
        <v>96</v>
      </c>
      <c r="F35" s="89">
        <f t="shared" ref="F35:F36" si="7">AVERAGE(C35:E35)</f>
        <v>97.333333333333329</v>
      </c>
    </row>
    <row r="36" spans="1:6" x14ac:dyDescent="0.2">
      <c r="A36" s="77"/>
      <c r="B36" s="78" t="s">
        <v>72</v>
      </c>
      <c r="C36" s="88">
        <v>43</v>
      </c>
      <c r="D36" s="88">
        <v>43</v>
      </c>
      <c r="E36" s="88">
        <v>43</v>
      </c>
      <c r="F36" s="89">
        <f t="shared" si="7"/>
        <v>43</v>
      </c>
    </row>
    <row r="37" spans="1:6" x14ac:dyDescent="0.2">
      <c r="A37" s="77"/>
      <c r="B37" s="92" t="s">
        <v>75</v>
      </c>
      <c r="C37" s="91">
        <f>C$3*1024/C35</f>
        <v>100.37333333333333</v>
      </c>
      <c r="D37" s="91">
        <f t="shared" ref="D37:F37" si="8">D$3*1024/D35</f>
        <v>96.358400000000003</v>
      </c>
      <c r="E37" s="91">
        <f t="shared" si="8"/>
        <v>100.37333333333333</v>
      </c>
      <c r="F37" s="99">
        <f t="shared" si="8"/>
        <v>98.998356164383566</v>
      </c>
    </row>
    <row r="38" spans="1:6" ht="17" thickBot="1" x14ac:dyDescent="0.25">
      <c r="A38" s="79"/>
      <c r="B38" s="80" t="s">
        <v>76</v>
      </c>
      <c r="C38" s="96">
        <f>C$3*1024/C32</f>
        <v>67.858028169014091</v>
      </c>
      <c r="D38" s="96">
        <f>D$3*1024/D32</f>
        <v>66.454068965517237</v>
      </c>
      <c r="E38" s="96">
        <f>E$3*1024/E32</f>
        <v>66.915555555555557</v>
      </c>
      <c r="F38" s="97">
        <f>F$3*1024/F32</f>
        <v>67.070812064965196</v>
      </c>
    </row>
  </sheetData>
  <mergeCells count="6">
    <mergeCell ref="A1:F1"/>
    <mergeCell ref="A4:A10"/>
    <mergeCell ref="A11:A17"/>
    <mergeCell ref="A18:A24"/>
    <mergeCell ref="A25:A31"/>
    <mergeCell ref="A32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tests 3</vt:lpstr>
      <vt:lpstr>tests 3 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Crawford</dc:creator>
  <cp:lastModifiedBy>Wayne Crawford</cp:lastModifiedBy>
  <dcterms:created xsi:type="dcterms:W3CDTF">2026-07-10T13:26:25Z</dcterms:created>
  <dcterms:modified xsi:type="dcterms:W3CDTF">2026-07-15T14:24:40Z</dcterms:modified>
</cp:coreProperties>
</file>